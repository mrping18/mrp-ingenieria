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scualbravoeduco-my.sharepoint.com/personal/julian_ramirez485_pascualbravo_edu_co/Documents/Escritorio/Optimizacion Lamosa/15-3/"/>
    </mc:Choice>
  </mc:AlternateContent>
  <xr:revisionPtr revIDLastSave="16" documentId="11_24A74D00F19B33D9EB38320FEC8ACE9E84DF2A25" xr6:coauthVersionLast="47" xr6:coauthVersionMax="47" xr10:uidLastSave="{D3FBD97B-0867-458D-9F6C-6745E3C1F091}"/>
  <bookViews>
    <workbookView xWindow="-120" yWindow="-120" windowWidth="24240" windowHeight="13020" activeTab="3" xr2:uid="{00000000-000D-0000-FFFF-FFFF00000000}"/>
  </bookViews>
  <sheets>
    <sheet name="0. INTRODUCCIÓN" sheetId="1" r:id="rId1"/>
    <sheet name="1. DATOS_CONSOLIDADOS" sheetId="2" r:id="rId2"/>
    <sheet name="2. CORRELACIONES" sheetId="3" r:id="rId3"/>
    <sheet name="3. OPTIMIZACION_SOLV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4" l="1"/>
</calcChain>
</file>

<file path=xl/sharedStrings.xml><?xml version="1.0" encoding="utf-8"?>
<sst xmlns="http://schemas.openxmlformats.org/spreadsheetml/2006/main" count="152" uniqueCount="61">
  <si>
    <t xml:space="preserve"> Bienvenidos al Optimizador de Polvo Atomizado</t>
  </si>
  <si>
    <t>Este archivo te ayudará a reducir los defectos de la losa vinculados al polvo atomizado mediante matemáticas.</t>
  </si>
  <si>
    <t xml:space="preserve"> ¿CÓMO FUNCIONA?</t>
  </si>
  <si>
    <t>1. En la pestaña '1. DATOS_CONSOLIDADOS' el archivo ya ha unido tu historial de condiciones de polvo con los defectos de la prensa por cada día.</t>
  </si>
  <si>
    <t>2. En la pestaña '2. CORRELACIONES' te explicamos qué variables son las más culpables de generar defectos según tu propia historia.</t>
  </si>
  <si>
    <t>3. En la pestaña '3. OPTIMIZACION_SOLVER' encontrarás el simulador. Allí podrás jugar con los valores y Excel calculará automáticamente los defectos esperados.</t>
  </si>
  <si>
    <t xml:space="preserve"> ¿QUÉ ES UNA CORRELACIÓN? (Explicación para la pestaña 2)</t>
  </si>
  <si>
    <t>Imagina que mides dos cosas todos los días (ej. la Diferencia de Humedad y la cantidad total de Defectos). La correlación mide si esas dos cosas se mueven juntas:</t>
  </si>
  <si>
    <t>- Correlación Positiva (+): Significan que van de la mano. Si la Diferencia de Humedad sube, los Defectos también suben. ¡Esto es malo!</t>
  </si>
  <si>
    <t>- Correlación Negativa (-): Significa que van al revés. Si el Tiempo de Añejamiento sube, los Defectos bajan. ¡Esto es bueno!</t>
  </si>
  <si>
    <t>- Correlación Cero (0): Significa que no tienen nada que ver la una con la otra.</t>
  </si>
  <si>
    <t>Sigue las instrucciones en la hoja 3 para usar Solver y encontrar el punto ideal donde los defectos se hacen cero.</t>
  </si>
  <si>
    <t>Mes_lower</t>
  </si>
  <si>
    <t>Día</t>
  </si>
  <si>
    <t>Humedad (%)</t>
  </si>
  <si>
    <t>Índice de Hausner</t>
  </si>
  <si>
    <t>Fluidez</t>
  </si>
  <si>
    <t>Tiempo de añejamiento (h)</t>
  </si>
  <si>
    <t>Malla Nº 30</t>
  </si>
  <si>
    <t>Malla Nº 40</t>
  </si>
  <si>
    <t>Malla Nº 50</t>
  </si>
  <si>
    <t>Malla Nº 60</t>
  </si>
  <si>
    <t>Malla Nº 80</t>
  </si>
  <si>
    <t>Malla Nº 120</t>
  </si>
  <si>
    <t>Malla Nº 230</t>
  </si>
  <si>
    <t>Fondo</t>
  </si>
  <si>
    <t>Diferencia de humedad</t>
  </si>
  <si>
    <t>Total_Defectos_Polvo</t>
  </si>
  <si>
    <t>diciembre</t>
  </si>
  <si>
    <t>enero</t>
  </si>
  <si>
    <t>febrero</t>
  </si>
  <si>
    <t>marzo</t>
  </si>
  <si>
    <t>noviembre</t>
  </si>
  <si>
    <t>octubre</t>
  </si>
  <si>
    <t>septiembre</t>
  </si>
  <si>
    <t xml:space="preserve"> Base de Datos Consolidada (Historia del Proceso)</t>
  </si>
  <si>
    <t xml:space="preserve"> Relación Variable vs Defectos (Correlaciones)</t>
  </si>
  <si>
    <t>Variable del Polvo</t>
  </si>
  <si>
    <t>Fuerza de Relación</t>
  </si>
  <si>
    <t>¿Qué Significa?</t>
  </si>
  <si>
    <t>↗️ Crítico. Si esto sube, aumentan mucho los defectos.</t>
  </si>
  <si>
    <t>↗️ Si esto sube, aumentan un poco los defectos.</t>
  </si>
  <si>
    <t>--- Casi no afecta los defectos.</t>
  </si>
  <si>
    <t>↘️ Si esto sube, bajan un poco los defectos.</t>
  </si>
  <si>
    <t>↘️ Excelente. Si esto sube, BAJAN los defectos.</t>
  </si>
  <si>
    <t xml:space="preserve"> Simulador y Optimizador</t>
  </si>
  <si>
    <t xml:space="preserve"> PASOS PARA OBTENER LOS CERO DEFECTOS CON SOLVER</t>
  </si>
  <si>
    <t>1. Modifica la celda amarilla de arriba para ver como cambian los defectos.</t>
  </si>
  <si>
    <t>2. O usa SOLVER (pestaña Datos -&gt; Solver) para que Excel lo calcule perfecto:</t>
  </si>
  <si>
    <t xml:space="preserve">   - Establecer objetivo: Selecciona la celda verde brillante (C20).</t>
  </si>
  <si>
    <t xml:space="preserve">   - Para: Selecciona "Min" (Minimizar defectos).</t>
  </si>
  <si>
    <t xml:space="preserve">   - Cambiando celdas de variables: Selecciona las celdas amarillas (C6:C18).</t>
  </si>
  <si>
    <t xml:space="preserve">   - Agrega las restricciones: C6:C18 &gt;= D6:D18  y  C6:C18 &lt;= E6:E18.</t>
  </si>
  <si>
    <t xml:space="preserve">   - Clic en "Resolver".</t>
  </si>
  <si>
    <t>Variable</t>
  </si>
  <si>
    <t>INGRESA VALOR AQUI</t>
  </si>
  <si>
    <t>Límite Min. Histórico</t>
  </si>
  <si>
    <t>Límite Max. Histórico</t>
  </si>
  <si>
    <t>Coeficientes Regresión</t>
  </si>
  <si>
    <t>Constante del Modelo</t>
  </si>
  <si>
    <t>DEFECTOS PROYECTADOS: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</si>
</sst>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4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Impacto de Variables en Defectos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</c:spPr>
          <c:invertIfNegative val="0"/>
          <c:cat>
            <c:strRef>
              <c:f>'2. CORRELACIONES'!$B$6:$B$18</c:f>
              <c:strCache>
                <c:ptCount val="13"/>
                <c:pt idx="0">
                  <c:v>Diferencia de humedad</c:v>
                </c:pt>
                <c:pt idx="1">
                  <c:v>Malla Nº 50</c:v>
                </c:pt>
                <c:pt idx="2">
                  <c:v>Malla Nº 40</c:v>
                </c:pt>
                <c:pt idx="3">
                  <c:v>Humedad (%)</c:v>
                </c:pt>
                <c:pt idx="4">
                  <c:v>Fondo</c:v>
                </c:pt>
                <c:pt idx="5">
                  <c:v>Fluidez</c:v>
                </c:pt>
                <c:pt idx="6">
                  <c:v>Índice de Hausner</c:v>
                </c:pt>
                <c:pt idx="7">
                  <c:v>Malla Nº 120</c:v>
                </c:pt>
                <c:pt idx="8">
                  <c:v>Malla Nº 30</c:v>
                </c:pt>
                <c:pt idx="9">
                  <c:v>Malla Nº 60</c:v>
                </c:pt>
                <c:pt idx="10">
                  <c:v>Malla Nº 80</c:v>
                </c:pt>
                <c:pt idx="11">
                  <c:v>Malla Nº 230</c:v>
                </c:pt>
                <c:pt idx="12">
                  <c:v>Tiempo de añejamiento (h)</c:v>
                </c:pt>
              </c:strCache>
            </c:strRef>
          </c:cat>
          <c:val>
            <c:numRef>
              <c:f>'2. CORRELACIONES'!$C$6:$C$18</c:f>
              <c:numCache>
                <c:formatCode>General</c:formatCode>
                <c:ptCount val="13"/>
                <c:pt idx="0">
                  <c:v>0.51078698097606123</c:v>
                </c:pt>
                <c:pt idx="1">
                  <c:v>0.41730069508200862</c:v>
                </c:pt>
                <c:pt idx="2">
                  <c:v>0.20595738950032491</c:v>
                </c:pt>
                <c:pt idx="3">
                  <c:v>0.1951796770284539</c:v>
                </c:pt>
                <c:pt idx="4">
                  <c:v>9.6880961988662275E-3</c:v>
                </c:pt>
                <c:pt idx="5">
                  <c:v>-7.0349018262604876E-3</c:v>
                </c:pt>
                <c:pt idx="6">
                  <c:v>-1.0511907777319449E-2</c:v>
                </c:pt>
                <c:pt idx="7">
                  <c:v>-4.737979091115932E-2</c:v>
                </c:pt>
                <c:pt idx="8">
                  <c:v>-6.397403215941555E-2</c:v>
                </c:pt>
                <c:pt idx="9">
                  <c:v>-7.3240319112483201E-2</c:v>
                </c:pt>
                <c:pt idx="10">
                  <c:v>-0.102211707715251</c:v>
                </c:pt>
                <c:pt idx="11">
                  <c:v>-0.24256461886982369</c:v>
                </c:pt>
                <c:pt idx="12">
                  <c:v>-0.29775892988858282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3-497F-B774-4187445AD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Correlación (Positiva=Malo, Negativa=Bueno)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16</xdr:col>
      <xdr:colOff>152400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8"/>
  <sheetViews>
    <sheetView topLeftCell="A7" workbookViewId="0">
      <selection activeCell="B8" sqref="B8:H8"/>
    </sheetView>
  </sheetViews>
  <sheetFormatPr baseColWidth="10" defaultColWidth="9.140625" defaultRowHeight="15" x14ac:dyDescent="0.25"/>
  <cols>
    <col min="1" max="1" width="5.7109375" customWidth="1"/>
    <col min="2" max="9" width="15.7109375" customWidth="1"/>
  </cols>
  <sheetData>
    <row r="2" spans="2:8" x14ac:dyDescent="0.25">
      <c r="B2" s="8" t="s">
        <v>0</v>
      </c>
      <c r="C2" s="8"/>
      <c r="D2" s="8"/>
      <c r="E2" s="8"/>
      <c r="F2" s="8"/>
      <c r="G2" s="8"/>
      <c r="H2" s="8"/>
    </row>
    <row r="3" spans="2:8" x14ac:dyDescent="0.25">
      <c r="B3" s="8"/>
      <c r="C3" s="8"/>
      <c r="D3" s="8"/>
      <c r="E3" s="8"/>
      <c r="F3" s="8"/>
      <c r="G3" s="8"/>
      <c r="H3" s="8"/>
    </row>
    <row r="5" spans="2:8" ht="20.100000000000001" customHeight="1" x14ac:dyDescent="0.25">
      <c r="B5" s="9" t="s">
        <v>1</v>
      </c>
      <c r="C5" s="9"/>
      <c r="D5" s="9"/>
      <c r="E5" s="9"/>
      <c r="F5" s="9"/>
      <c r="G5" s="9"/>
      <c r="H5" s="9"/>
    </row>
    <row r="6" spans="2:8" ht="9.9499999999999993" customHeight="1" x14ac:dyDescent="0.25">
      <c r="B6" s="9"/>
      <c r="C6" s="9"/>
      <c r="D6" s="9"/>
      <c r="E6" s="9"/>
      <c r="F6" s="9"/>
      <c r="G6" s="9"/>
      <c r="H6" s="9"/>
    </row>
    <row r="7" spans="2:8" ht="20.100000000000001" customHeight="1" x14ac:dyDescent="0.25">
      <c r="B7" s="10" t="s">
        <v>2</v>
      </c>
      <c r="C7" s="10"/>
      <c r="D7" s="10"/>
      <c r="E7" s="10"/>
      <c r="F7" s="10"/>
      <c r="G7" s="10"/>
      <c r="H7" s="10"/>
    </row>
    <row r="8" spans="2:8" ht="33.75" customHeight="1" x14ac:dyDescent="0.25">
      <c r="B8" s="9" t="s">
        <v>3</v>
      </c>
      <c r="C8" s="9"/>
      <c r="D8" s="9"/>
      <c r="E8" s="9"/>
      <c r="F8" s="9"/>
      <c r="G8" s="9"/>
      <c r="H8" s="9"/>
    </row>
    <row r="9" spans="2:8" ht="44.25" customHeight="1" x14ac:dyDescent="0.25">
      <c r="B9" s="9" t="s">
        <v>4</v>
      </c>
      <c r="C9" s="9"/>
      <c r="D9" s="9"/>
      <c r="E9" s="9"/>
      <c r="F9" s="9"/>
      <c r="G9" s="9"/>
      <c r="H9" s="9"/>
    </row>
    <row r="10" spans="2:8" ht="28.5" customHeight="1" x14ac:dyDescent="0.25">
      <c r="B10" s="9" t="s">
        <v>5</v>
      </c>
      <c r="C10" s="9"/>
      <c r="D10" s="9"/>
      <c r="E10" s="9"/>
      <c r="F10" s="9"/>
      <c r="G10" s="9"/>
      <c r="H10" s="9"/>
    </row>
    <row r="11" spans="2:8" ht="22.5" customHeight="1" x14ac:dyDescent="0.25">
      <c r="B11" s="9"/>
      <c r="C11" s="9"/>
      <c r="D11" s="9"/>
      <c r="E11" s="9"/>
      <c r="F11" s="9"/>
      <c r="G11" s="9"/>
      <c r="H11" s="9"/>
    </row>
    <row r="12" spans="2:8" ht="20.100000000000001" customHeight="1" x14ac:dyDescent="0.25">
      <c r="B12" s="10" t="s">
        <v>6</v>
      </c>
      <c r="C12" s="10"/>
      <c r="D12" s="10"/>
      <c r="E12" s="10"/>
      <c r="F12" s="10"/>
      <c r="G12" s="10"/>
      <c r="H12" s="10"/>
    </row>
    <row r="13" spans="2:8" ht="32.25" customHeight="1" x14ac:dyDescent="0.25">
      <c r="B13" s="9" t="s">
        <v>7</v>
      </c>
      <c r="C13" s="9"/>
      <c r="D13" s="9"/>
      <c r="E13" s="9"/>
      <c r="F13" s="9"/>
      <c r="G13" s="9"/>
      <c r="H13" s="9"/>
    </row>
    <row r="14" spans="2:8" ht="39.75" customHeight="1" x14ac:dyDescent="0.25">
      <c r="B14" s="9" t="s">
        <v>8</v>
      </c>
      <c r="C14" s="9"/>
      <c r="D14" s="9"/>
      <c r="E14" s="9"/>
      <c r="F14" s="9"/>
      <c r="G14" s="9"/>
      <c r="H14" s="9"/>
    </row>
    <row r="15" spans="2:8" ht="20.100000000000001" customHeight="1" x14ac:dyDescent="0.25">
      <c r="B15" s="9" t="s">
        <v>9</v>
      </c>
      <c r="C15" s="9"/>
      <c r="D15" s="9"/>
      <c r="E15" s="9"/>
      <c r="F15" s="9"/>
      <c r="G15" s="9"/>
      <c r="H15" s="9"/>
    </row>
    <row r="16" spans="2:8" ht="20.100000000000001" customHeight="1" x14ac:dyDescent="0.25">
      <c r="B16" s="9" t="s">
        <v>10</v>
      </c>
      <c r="C16" s="9"/>
      <c r="D16" s="9"/>
      <c r="E16" s="9"/>
      <c r="F16" s="9"/>
      <c r="G16" s="9"/>
      <c r="H16" s="9"/>
    </row>
    <row r="17" spans="2:8" ht="9.9499999999999993" customHeight="1" x14ac:dyDescent="0.25">
      <c r="B17" s="9"/>
      <c r="C17" s="9"/>
      <c r="D17" s="9"/>
      <c r="E17" s="9"/>
      <c r="F17" s="9"/>
      <c r="G17" s="9"/>
      <c r="H17" s="9"/>
    </row>
    <row r="18" spans="2:8" ht="20.100000000000001" customHeight="1" x14ac:dyDescent="0.25">
      <c r="B18" s="9" t="s">
        <v>11</v>
      </c>
      <c r="C18" s="9"/>
      <c r="D18" s="9"/>
      <c r="E18" s="9"/>
      <c r="F18" s="9"/>
      <c r="G18" s="9"/>
      <c r="H18" s="9"/>
    </row>
  </sheetData>
  <mergeCells count="15">
    <mergeCell ref="B14:H14"/>
    <mergeCell ref="B15:H15"/>
    <mergeCell ref="B16:H16"/>
    <mergeCell ref="B17:H17"/>
    <mergeCell ref="B18:H18"/>
    <mergeCell ref="B9:H9"/>
    <mergeCell ref="B10:H10"/>
    <mergeCell ref="B11:H11"/>
    <mergeCell ref="B12:H12"/>
    <mergeCell ref="B13:H13"/>
    <mergeCell ref="B2:H3"/>
    <mergeCell ref="B5:H5"/>
    <mergeCell ref="B6:H6"/>
    <mergeCell ref="B7:H7"/>
    <mergeCell ref="B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topLeftCell="C1" workbookViewId="0">
      <selection sqref="A1:O2"/>
    </sheetView>
  </sheetViews>
  <sheetFormatPr baseColWidth="10" defaultColWidth="9.140625" defaultRowHeight="15" x14ac:dyDescent="0.25"/>
  <cols>
    <col min="1" max="14" width="15.7109375" customWidth="1"/>
    <col min="15" max="15" width="20.7109375" customWidth="1"/>
    <col min="16" max="16" width="15.7109375" customWidth="1"/>
  </cols>
  <sheetData>
    <row r="1" spans="1:16" x14ac:dyDescent="0.25">
      <c r="A1" s="8" t="s">
        <v>35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6" ht="30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</row>
    <row r="4" spans="1:16" x14ac:dyDescent="0.25">
      <c r="A4" t="s">
        <v>28</v>
      </c>
      <c r="B4">
        <v>3</v>
      </c>
      <c r="C4">
        <v>7.95</v>
      </c>
      <c r="D4">
        <v>1.1200000000000001</v>
      </c>
      <c r="E4">
        <v>34.299999999999997</v>
      </c>
      <c r="F4">
        <v>21.1</v>
      </c>
      <c r="G4">
        <v>13.2</v>
      </c>
      <c r="H4">
        <v>34.9</v>
      </c>
      <c r="I4">
        <v>35.5</v>
      </c>
      <c r="J4">
        <v>5.4</v>
      </c>
      <c r="K4">
        <v>6</v>
      </c>
      <c r="L4">
        <v>2.2999999999999998</v>
      </c>
      <c r="M4">
        <v>1.7</v>
      </c>
      <c r="N4">
        <v>0.2</v>
      </c>
      <c r="O4">
        <v>3.85</v>
      </c>
      <c r="P4">
        <v>2.85</v>
      </c>
    </row>
    <row r="5" spans="1:16" x14ac:dyDescent="0.25">
      <c r="A5" t="s">
        <v>28</v>
      </c>
      <c r="B5">
        <v>9</v>
      </c>
      <c r="C5">
        <v>7.81</v>
      </c>
      <c r="D5">
        <v>1.1599999999999999</v>
      </c>
      <c r="E5">
        <v>30.52</v>
      </c>
      <c r="F5">
        <v>28.3</v>
      </c>
      <c r="G5">
        <v>5.9</v>
      </c>
      <c r="I5">
        <v>73.900000000000006</v>
      </c>
      <c r="J5">
        <v>6.8</v>
      </c>
      <c r="K5">
        <v>6.9</v>
      </c>
      <c r="L5">
        <v>3.1</v>
      </c>
      <c r="M5">
        <v>1.6</v>
      </c>
      <c r="N5">
        <v>1.2</v>
      </c>
      <c r="P5">
        <v>26.38</v>
      </c>
    </row>
    <row r="6" spans="1:16" x14ac:dyDescent="0.25">
      <c r="A6" t="s">
        <v>28</v>
      </c>
      <c r="B6">
        <v>11</v>
      </c>
      <c r="C6">
        <v>7.62</v>
      </c>
      <c r="D6">
        <v>1.1100000000000001</v>
      </c>
      <c r="E6">
        <v>35.14</v>
      </c>
      <c r="F6">
        <v>24.2</v>
      </c>
      <c r="G6">
        <v>4.16</v>
      </c>
      <c r="I6">
        <v>68.28</v>
      </c>
      <c r="J6">
        <v>7.5</v>
      </c>
      <c r="K6">
        <v>8.6999999999999993</v>
      </c>
      <c r="L6">
        <v>6.18</v>
      </c>
      <c r="M6">
        <v>2.5</v>
      </c>
      <c r="N6">
        <v>1.1499999999999999</v>
      </c>
      <c r="P6">
        <v>31.33</v>
      </c>
    </row>
    <row r="7" spans="1:16" x14ac:dyDescent="0.25">
      <c r="A7" t="s">
        <v>28</v>
      </c>
      <c r="B7">
        <v>12</v>
      </c>
      <c r="C7">
        <v>6.88</v>
      </c>
      <c r="D7">
        <v>1.1599999999999999</v>
      </c>
      <c r="E7">
        <v>33.99</v>
      </c>
      <c r="F7">
        <v>28.4</v>
      </c>
      <c r="G7">
        <v>6.92</v>
      </c>
      <c r="I7">
        <v>68.5</v>
      </c>
      <c r="J7">
        <v>8.2799999999999994</v>
      </c>
      <c r="K7">
        <v>8.18</v>
      </c>
      <c r="L7">
        <v>3.98</v>
      </c>
      <c r="M7">
        <v>1.9</v>
      </c>
      <c r="N7">
        <v>1.82</v>
      </c>
      <c r="P7">
        <v>26.65</v>
      </c>
    </row>
    <row r="8" spans="1:16" x14ac:dyDescent="0.25">
      <c r="A8" t="s">
        <v>28</v>
      </c>
      <c r="B8">
        <v>13</v>
      </c>
      <c r="C8">
        <v>7.19</v>
      </c>
      <c r="D8">
        <v>1.1100000000000001</v>
      </c>
      <c r="E8">
        <v>38.619999999999997</v>
      </c>
      <c r="F8">
        <v>21.2</v>
      </c>
      <c r="G8">
        <v>6.9</v>
      </c>
      <c r="I8">
        <v>70.099999999999994</v>
      </c>
      <c r="J8">
        <v>7.2</v>
      </c>
      <c r="K8">
        <v>7.4</v>
      </c>
      <c r="L8">
        <v>4.8</v>
      </c>
      <c r="M8">
        <v>1.8</v>
      </c>
      <c r="N8">
        <v>1.3</v>
      </c>
      <c r="P8">
        <v>5.98</v>
      </c>
    </row>
    <row r="9" spans="1:16" x14ac:dyDescent="0.25">
      <c r="A9" t="s">
        <v>28</v>
      </c>
      <c r="B9">
        <v>15</v>
      </c>
      <c r="C9">
        <v>7.17</v>
      </c>
      <c r="D9">
        <v>1.08</v>
      </c>
      <c r="E9">
        <v>34.619999999999997</v>
      </c>
      <c r="F9">
        <v>20.100000000000001</v>
      </c>
      <c r="G9">
        <v>10.199999999999999</v>
      </c>
      <c r="I9">
        <v>65.400000000000006</v>
      </c>
      <c r="J9">
        <v>6.8</v>
      </c>
      <c r="K9">
        <v>8.5</v>
      </c>
      <c r="L9">
        <v>4.0999999999999996</v>
      </c>
      <c r="M9">
        <v>2.2000000000000002</v>
      </c>
      <c r="N9">
        <v>1.5</v>
      </c>
      <c r="P9">
        <v>10.38</v>
      </c>
    </row>
    <row r="10" spans="1:16" x14ac:dyDescent="0.25">
      <c r="A10" t="s">
        <v>28</v>
      </c>
      <c r="B10">
        <v>16</v>
      </c>
      <c r="C10">
        <v>7.415</v>
      </c>
      <c r="D10">
        <v>1.1299999999999999</v>
      </c>
      <c r="E10">
        <v>34.445</v>
      </c>
      <c r="F10">
        <v>14.9</v>
      </c>
      <c r="G10">
        <v>11.05</v>
      </c>
      <c r="I10">
        <v>70.954999999999998</v>
      </c>
      <c r="J10">
        <v>5.7750000000000004</v>
      </c>
      <c r="K10">
        <v>5.3949999999999996</v>
      </c>
      <c r="L10">
        <v>3.125</v>
      </c>
      <c r="M10">
        <v>1.8049999999999999</v>
      </c>
      <c r="N10">
        <v>1.46</v>
      </c>
      <c r="O10">
        <v>4.1100000000000003</v>
      </c>
      <c r="P10">
        <v>16.350000000000001</v>
      </c>
    </row>
    <row r="11" spans="1:16" x14ac:dyDescent="0.25">
      <c r="A11" t="s">
        <v>28</v>
      </c>
      <c r="B11">
        <v>17</v>
      </c>
      <c r="C11">
        <v>7.4250000000000007</v>
      </c>
      <c r="D11">
        <v>1.175</v>
      </c>
      <c r="E11">
        <v>33.034999999999997</v>
      </c>
      <c r="F11">
        <v>10.3</v>
      </c>
      <c r="G11">
        <v>12.654999999999999</v>
      </c>
      <c r="I11">
        <v>67.665000000000006</v>
      </c>
      <c r="J11">
        <v>4.5250000000000004</v>
      </c>
      <c r="K11">
        <v>4.7</v>
      </c>
      <c r="L11">
        <v>3.74</v>
      </c>
      <c r="M11">
        <v>2.6</v>
      </c>
      <c r="N11">
        <v>1.72</v>
      </c>
      <c r="P11">
        <v>13.77</v>
      </c>
    </row>
    <row r="12" spans="1:16" x14ac:dyDescent="0.25">
      <c r="A12" t="s">
        <v>28</v>
      </c>
      <c r="B12">
        <v>18</v>
      </c>
      <c r="C12">
        <v>7.15</v>
      </c>
      <c r="D12">
        <v>1.1200000000000001</v>
      </c>
      <c r="E12">
        <v>34.18</v>
      </c>
      <c r="F12">
        <v>16.8</v>
      </c>
      <c r="G12">
        <v>8.23</v>
      </c>
      <c r="I12">
        <v>69.819999999999993</v>
      </c>
      <c r="J12">
        <v>5.7</v>
      </c>
      <c r="K12">
        <v>6.36</v>
      </c>
      <c r="L12">
        <v>5.49</v>
      </c>
      <c r="M12">
        <v>2.09</v>
      </c>
      <c r="N12">
        <v>2.0099999999999998</v>
      </c>
      <c r="P12">
        <v>10.4</v>
      </c>
    </row>
    <row r="13" spans="1:16" x14ac:dyDescent="0.25">
      <c r="A13" t="s">
        <v>28</v>
      </c>
      <c r="B13">
        <v>19</v>
      </c>
      <c r="C13">
        <v>7.59</v>
      </c>
      <c r="D13">
        <v>1.1200000000000001</v>
      </c>
      <c r="E13">
        <v>35.979999999999997</v>
      </c>
      <c r="F13">
        <v>16.8</v>
      </c>
      <c r="G13">
        <v>6.68</v>
      </c>
      <c r="I13">
        <v>71.47</v>
      </c>
      <c r="J13">
        <v>7.45</v>
      </c>
      <c r="K13">
        <v>7.07</v>
      </c>
      <c r="L13">
        <v>4.0199999999999996</v>
      </c>
      <c r="M13">
        <v>1.48</v>
      </c>
      <c r="N13">
        <v>1.1399999999999999</v>
      </c>
      <c r="P13">
        <v>13.04</v>
      </c>
    </row>
    <row r="14" spans="1:16" x14ac:dyDescent="0.25">
      <c r="A14" t="s">
        <v>28</v>
      </c>
      <c r="B14">
        <v>20</v>
      </c>
      <c r="C14">
        <v>7.35</v>
      </c>
      <c r="D14">
        <v>1.1599999999999999</v>
      </c>
      <c r="E14">
        <v>37.11</v>
      </c>
      <c r="F14">
        <v>19.399999999999999</v>
      </c>
      <c r="G14">
        <v>7.03</v>
      </c>
      <c r="I14">
        <v>69.959999999999994</v>
      </c>
      <c r="J14">
        <v>7.83</v>
      </c>
      <c r="K14">
        <v>8.32</v>
      </c>
      <c r="L14">
        <v>3.62</v>
      </c>
      <c r="M14">
        <v>1.58</v>
      </c>
      <c r="N14">
        <v>1.1000000000000001</v>
      </c>
      <c r="P14">
        <v>7.92</v>
      </c>
    </row>
    <row r="15" spans="1:16" x14ac:dyDescent="0.25">
      <c r="A15" t="s">
        <v>28</v>
      </c>
      <c r="B15">
        <v>21</v>
      </c>
      <c r="C15">
        <v>6.83</v>
      </c>
      <c r="D15">
        <v>1.1299999999999999</v>
      </c>
      <c r="E15">
        <v>35.200000000000003</v>
      </c>
      <c r="F15">
        <v>13.9</v>
      </c>
      <c r="G15">
        <v>6.26</v>
      </c>
      <c r="I15">
        <v>68.319999999999993</v>
      </c>
      <c r="J15">
        <v>8.67</v>
      </c>
      <c r="K15">
        <v>8.6300000000000008</v>
      </c>
      <c r="L15">
        <v>4.4400000000000004</v>
      </c>
      <c r="M15">
        <v>2.0499999999999998</v>
      </c>
      <c r="N15">
        <v>1</v>
      </c>
      <c r="P15">
        <v>9.5500000000000007</v>
      </c>
    </row>
    <row r="16" spans="1:16" x14ac:dyDescent="0.25">
      <c r="A16" t="s">
        <v>28</v>
      </c>
      <c r="B16">
        <v>26</v>
      </c>
      <c r="C16">
        <v>7.75</v>
      </c>
      <c r="D16">
        <v>1.1599999999999999</v>
      </c>
      <c r="E16">
        <v>28.84</v>
      </c>
      <c r="F16">
        <v>18</v>
      </c>
      <c r="G16">
        <v>4.79</v>
      </c>
      <c r="I16">
        <v>62.86</v>
      </c>
      <c r="J16">
        <v>11.74</v>
      </c>
      <c r="K16">
        <v>10.17</v>
      </c>
      <c r="L16">
        <v>6.23</v>
      </c>
      <c r="M16">
        <v>2.33</v>
      </c>
      <c r="N16">
        <v>1.06</v>
      </c>
      <c r="P16">
        <v>0.77</v>
      </c>
    </row>
    <row r="17" spans="1:16" x14ac:dyDescent="0.25">
      <c r="A17" t="s">
        <v>28</v>
      </c>
      <c r="B17">
        <v>28</v>
      </c>
      <c r="C17">
        <v>7.86</v>
      </c>
      <c r="D17">
        <v>1.1599999999999999</v>
      </c>
      <c r="E17">
        <v>35.24</v>
      </c>
      <c r="F17">
        <v>25.2</v>
      </c>
      <c r="G17">
        <v>8.7100000000000009</v>
      </c>
      <c r="I17">
        <v>73.319999999999993</v>
      </c>
      <c r="J17">
        <v>5.97</v>
      </c>
      <c r="K17">
        <v>5.28</v>
      </c>
      <c r="L17">
        <v>3.41</v>
      </c>
      <c r="M17">
        <v>1.46</v>
      </c>
      <c r="N17">
        <v>1.39</v>
      </c>
      <c r="P17">
        <v>4.62</v>
      </c>
    </row>
    <row r="18" spans="1:16" x14ac:dyDescent="0.25">
      <c r="A18" t="s">
        <v>29</v>
      </c>
      <c r="B18">
        <v>3</v>
      </c>
      <c r="C18">
        <v>7.84</v>
      </c>
      <c r="D18">
        <v>1.1100000000000001</v>
      </c>
      <c r="E18">
        <v>36.479999999999997</v>
      </c>
      <c r="F18">
        <v>22.3</v>
      </c>
      <c r="G18">
        <v>11.15</v>
      </c>
      <c r="I18">
        <v>67.650000000000006</v>
      </c>
      <c r="J18">
        <v>7.37</v>
      </c>
      <c r="K18">
        <v>2.99</v>
      </c>
      <c r="L18">
        <v>7.12</v>
      </c>
      <c r="M18">
        <v>2.19</v>
      </c>
      <c r="N18">
        <v>1.2</v>
      </c>
      <c r="P18">
        <v>4.08</v>
      </c>
    </row>
    <row r="19" spans="1:16" x14ac:dyDescent="0.25">
      <c r="A19" t="s">
        <v>29</v>
      </c>
      <c r="B19">
        <v>6</v>
      </c>
      <c r="C19">
        <v>7.34</v>
      </c>
      <c r="D19">
        <v>1.1599999999999999</v>
      </c>
      <c r="E19">
        <v>35.340000000000003</v>
      </c>
      <c r="F19">
        <v>20.7</v>
      </c>
      <c r="G19">
        <v>6.7</v>
      </c>
      <c r="I19">
        <v>71</v>
      </c>
      <c r="J19">
        <v>4.8</v>
      </c>
      <c r="K19">
        <v>5.9</v>
      </c>
      <c r="L19">
        <v>7</v>
      </c>
      <c r="M19">
        <v>2.5</v>
      </c>
      <c r="N19">
        <v>1.3</v>
      </c>
      <c r="P19">
        <v>3.05</v>
      </c>
    </row>
    <row r="20" spans="1:16" x14ac:dyDescent="0.25">
      <c r="A20" t="s">
        <v>29</v>
      </c>
      <c r="B20">
        <v>10</v>
      </c>
      <c r="C20">
        <v>8.14</v>
      </c>
      <c r="D20">
        <v>1.19</v>
      </c>
      <c r="E20">
        <v>34.68</v>
      </c>
      <c r="F20">
        <v>19</v>
      </c>
      <c r="G20">
        <v>6.9</v>
      </c>
      <c r="H20">
        <v>34.1</v>
      </c>
      <c r="I20">
        <v>35.799999999999997</v>
      </c>
      <c r="J20">
        <v>4.4000000000000004</v>
      </c>
      <c r="K20">
        <v>2.5</v>
      </c>
      <c r="L20">
        <v>10.1</v>
      </c>
      <c r="M20">
        <v>3.3</v>
      </c>
      <c r="N20">
        <v>1.7</v>
      </c>
      <c r="O20">
        <v>4.54</v>
      </c>
      <c r="P20">
        <v>14.2</v>
      </c>
    </row>
    <row r="21" spans="1:16" x14ac:dyDescent="0.25">
      <c r="A21" t="s">
        <v>29</v>
      </c>
      <c r="B21">
        <v>13</v>
      </c>
      <c r="C21">
        <v>7.47</v>
      </c>
      <c r="D21">
        <v>1.1299999999999999</v>
      </c>
      <c r="E21">
        <v>38.130000000000003</v>
      </c>
      <c r="F21">
        <v>24.4</v>
      </c>
      <c r="G21">
        <v>6.69</v>
      </c>
      <c r="H21">
        <v>29.78</v>
      </c>
      <c r="I21">
        <v>39.229999999999997</v>
      </c>
      <c r="J21">
        <v>6.71</v>
      </c>
      <c r="K21">
        <v>3.31</v>
      </c>
      <c r="L21">
        <v>10.4</v>
      </c>
      <c r="M21">
        <v>1.99</v>
      </c>
      <c r="N21">
        <v>0.98</v>
      </c>
      <c r="O21">
        <v>3.57</v>
      </c>
      <c r="P21">
        <v>1.17</v>
      </c>
    </row>
    <row r="22" spans="1:16" x14ac:dyDescent="0.25">
      <c r="A22" t="s">
        <v>29</v>
      </c>
      <c r="B22">
        <v>16</v>
      </c>
      <c r="C22">
        <v>7.55</v>
      </c>
      <c r="D22">
        <v>1.1599999999999999</v>
      </c>
      <c r="E22">
        <v>35.409999999999997</v>
      </c>
      <c r="F22">
        <v>19.2</v>
      </c>
      <c r="G22">
        <v>5.03</v>
      </c>
      <c r="H22">
        <v>29.19</v>
      </c>
      <c r="I22">
        <v>39.590000000000003</v>
      </c>
      <c r="J22">
        <v>7.74</v>
      </c>
      <c r="K22">
        <v>3.98</v>
      </c>
      <c r="L22">
        <v>10.55</v>
      </c>
      <c r="M22">
        <v>2.27</v>
      </c>
      <c r="N22">
        <v>1.54</v>
      </c>
      <c r="O22">
        <v>3.63</v>
      </c>
      <c r="P22">
        <v>1.44</v>
      </c>
    </row>
    <row r="23" spans="1:16" x14ac:dyDescent="0.25">
      <c r="A23" t="s">
        <v>29</v>
      </c>
      <c r="B23">
        <v>18</v>
      </c>
      <c r="C23">
        <v>7.35</v>
      </c>
      <c r="D23">
        <v>1.21</v>
      </c>
      <c r="E23">
        <v>35.15</v>
      </c>
      <c r="F23">
        <v>34.700000000000003</v>
      </c>
      <c r="G23">
        <v>9</v>
      </c>
      <c r="H23">
        <v>31.82</v>
      </c>
      <c r="I23">
        <v>38.880000000000003</v>
      </c>
      <c r="J23">
        <v>3.69</v>
      </c>
      <c r="K23">
        <v>8.7100000000000009</v>
      </c>
      <c r="L23">
        <v>3.98</v>
      </c>
      <c r="M23">
        <v>2.0699999999999998</v>
      </c>
      <c r="N23">
        <v>1.36</v>
      </c>
      <c r="O23">
        <v>1.36</v>
      </c>
      <c r="P23">
        <v>0.46</v>
      </c>
    </row>
    <row r="24" spans="1:16" x14ac:dyDescent="0.25">
      <c r="A24" t="s">
        <v>29</v>
      </c>
      <c r="B24">
        <v>21</v>
      </c>
      <c r="C24">
        <v>7.4</v>
      </c>
      <c r="D24">
        <v>1.19</v>
      </c>
      <c r="E24">
        <v>34.82</v>
      </c>
      <c r="F24">
        <v>23.4</v>
      </c>
      <c r="G24">
        <v>11.09</v>
      </c>
      <c r="H24">
        <v>35.01</v>
      </c>
      <c r="I24">
        <v>33.729999999999997</v>
      </c>
      <c r="J24">
        <v>5.37</v>
      </c>
      <c r="K24">
        <v>5.0599999999999996</v>
      </c>
      <c r="L24">
        <v>5.97</v>
      </c>
      <c r="M24">
        <v>1.87</v>
      </c>
      <c r="N24">
        <v>1.52</v>
      </c>
      <c r="O24">
        <v>3.21</v>
      </c>
      <c r="P24">
        <v>1.86</v>
      </c>
    </row>
    <row r="25" spans="1:16" x14ac:dyDescent="0.25">
      <c r="A25" t="s">
        <v>29</v>
      </c>
      <c r="B25">
        <v>25</v>
      </c>
      <c r="C25">
        <v>7.3</v>
      </c>
      <c r="D25">
        <v>1.1599999999999999</v>
      </c>
      <c r="E25">
        <v>32.909999999999997</v>
      </c>
      <c r="F25">
        <v>26.6</v>
      </c>
      <c r="G25">
        <v>5.15</v>
      </c>
      <c r="H25">
        <v>33.82</v>
      </c>
      <c r="I25">
        <v>33.770000000000003</v>
      </c>
      <c r="J25">
        <v>2.57</v>
      </c>
      <c r="K25">
        <v>11.06</v>
      </c>
      <c r="L25">
        <v>7.06</v>
      </c>
      <c r="M25">
        <v>3.81</v>
      </c>
      <c r="N25">
        <v>2.17</v>
      </c>
      <c r="O25">
        <v>1.85</v>
      </c>
      <c r="P25">
        <v>0.4</v>
      </c>
    </row>
    <row r="26" spans="1:16" x14ac:dyDescent="0.25">
      <c r="A26" t="s">
        <v>29</v>
      </c>
      <c r="B26">
        <v>28</v>
      </c>
      <c r="C26">
        <v>7.57</v>
      </c>
      <c r="D26">
        <v>1.21</v>
      </c>
      <c r="E26">
        <v>33.4</v>
      </c>
      <c r="F26">
        <v>22.2</v>
      </c>
      <c r="G26">
        <v>10</v>
      </c>
      <c r="H26">
        <v>36.590000000000003</v>
      </c>
      <c r="I26">
        <v>31.15</v>
      </c>
      <c r="J26">
        <v>7.64</v>
      </c>
      <c r="K26">
        <v>3.55</v>
      </c>
      <c r="L26">
        <v>6.6</v>
      </c>
      <c r="M26">
        <v>2.38</v>
      </c>
      <c r="N26">
        <v>1.66</v>
      </c>
      <c r="O26">
        <v>4.34</v>
      </c>
      <c r="P26">
        <v>17.690000000000001</v>
      </c>
    </row>
    <row r="27" spans="1:16" x14ac:dyDescent="0.25">
      <c r="A27" t="s">
        <v>29</v>
      </c>
      <c r="B27">
        <v>30</v>
      </c>
      <c r="C27">
        <v>6.93</v>
      </c>
      <c r="D27">
        <v>1.1599999999999999</v>
      </c>
      <c r="E27">
        <v>34.39</v>
      </c>
      <c r="F27">
        <v>24.6</v>
      </c>
      <c r="G27">
        <v>6.3</v>
      </c>
      <c r="H27">
        <v>33</v>
      </c>
      <c r="I27">
        <v>35.299999999999997</v>
      </c>
      <c r="J27">
        <v>8.6</v>
      </c>
      <c r="K27">
        <v>2.8</v>
      </c>
      <c r="L27">
        <v>8.9</v>
      </c>
      <c r="M27">
        <v>2.6</v>
      </c>
      <c r="N27">
        <v>1.7</v>
      </c>
      <c r="O27">
        <v>3.24</v>
      </c>
      <c r="P27">
        <v>9.82</v>
      </c>
    </row>
    <row r="28" spans="1:16" x14ac:dyDescent="0.25">
      <c r="A28" t="s">
        <v>30</v>
      </c>
      <c r="B28">
        <v>2</v>
      </c>
      <c r="C28">
        <v>7.25</v>
      </c>
      <c r="D28">
        <v>1.1100000000000001</v>
      </c>
      <c r="E28">
        <v>34.79</v>
      </c>
      <c r="F28">
        <v>18.100000000000001</v>
      </c>
      <c r="G28">
        <v>7.39</v>
      </c>
      <c r="H28">
        <v>32.49</v>
      </c>
      <c r="I28">
        <v>36.31</v>
      </c>
      <c r="J28">
        <v>9.1999999999999993</v>
      </c>
      <c r="K28">
        <v>6.96</v>
      </c>
      <c r="L28">
        <v>4.1900000000000004</v>
      </c>
      <c r="M28">
        <v>2.17</v>
      </c>
      <c r="N28">
        <v>0.88</v>
      </c>
      <c r="O28">
        <v>4.18</v>
      </c>
      <c r="P28">
        <v>0</v>
      </c>
    </row>
    <row r="29" spans="1:16" x14ac:dyDescent="0.25">
      <c r="A29" t="s">
        <v>30</v>
      </c>
      <c r="B29">
        <v>5</v>
      </c>
      <c r="C29">
        <v>7</v>
      </c>
      <c r="D29">
        <v>1.25</v>
      </c>
      <c r="E29">
        <v>29.57</v>
      </c>
      <c r="F29">
        <v>20.3</v>
      </c>
      <c r="G29">
        <v>14.11</v>
      </c>
      <c r="H29">
        <v>38.869999999999997</v>
      </c>
      <c r="I29">
        <v>27.91</v>
      </c>
      <c r="J29">
        <v>6.08</v>
      </c>
      <c r="K29">
        <v>4.3600000000000003</v>
      </c>
      <c r="L29">
        <v>3.3</v>
      </c>
      <c r="M29">
        <v>2.99</v>
      </c>
      <c r="N29">
        <v>1.82</v>
      </c>
      <c r="O29">
        <v>3.8</v>
      </c>
      <c r="P29">
        <v>1.36</v>
      </c>
    </row>
    <row r="30" spans="1:16" x14ac:dyDescent="0.25">
      <c r="A30" t="s">
        <v>30</v>
      </c>
      <c r="B30">
        <v>7</v>
      </c>
      <c r="C30">
        <v>7.59</v>
      </c>
      <c r="D30">
        <v>1.1299999999999999</v>
      </c>
      <c r="E30">
        <v>37.869999999999997</v>
      </c>
      <c r="F30">
        <v>16.2</v>
      </c>
      <c r="G30">
        <v>2.81</v>
      </c>
      <c r="H30">
        <v>26.64</v>
      </c>
      <c r="I30">
        <v>38.17</v>
      </c>
      <c r="J30">
        <v>12.15</v>
      </c>
      <c r="K30">
        <v>10.220000000000001</v>
      </c>
      <c r="L30">
        <v>4.9800000000000004</v>
      </c>
      <c r="M30">
        <v>2.96</v>
      </c>
      <c r="N30">
        <v>0.83</v>
      </c>
      <c r="O30">
        <v>4.47</v>
      </c>
      <c r="P30">
        <v>4.3000000000000007</v>
      </c>
    </row>
    <row r="31" spans="1:16" x14ac:dyDescent="0.25">
      <c r="A31" t="s">
        <v>30</v>
      </c>
      <c r="B31">
        <v>8</v>
      </c>
      <c r="C31">
        <v>7.1</v>
      </c>
      <c r="D31">
        <v>1.1599999999999999</v>
      </c>
      <c r="E31">
        <v>32.64</v>
      </c>
      <c r="F31">
        <v>34.700000000000003</v>
      </c>
      <c r="G31">
        <v>2.1</v>
      </c>
      <c r="H31">
        <v>27.4</v>
      </c>
      <c r="I31">
        <v>40.9</v>
      </c>
      <c r="J31">
        <v>10.199999999999999</v>
      </c>
      <c r="K31">
        <v>9.6999999999999993</v>
      </c>
      <c r="L31">
        <v>4.3</v>
      </c>
      <c r="M31">
        <v>2.8</v>
      </c>
      <c r="N31">
        <v>1.6</v>
      </c>
      <c r="O31">
        <v>3.81</v>
      </c>
      <c r="P31">
        <v>1.9</v>
      </c>
    </row>
    <row r="32" spans="1:16" x14ac:dyDescent="0.25">
      <c r="A32" t="s">
        <v>30</v>
      </c>
      <c r="B32">
        <v>14</v>
      </c>
      <c r="C32">
        <v>7.45</v>
      </c>
      <c r="D32">
        <v>1.19</v>
      </c>
      <c r="E32">
        <v>36.450000000000003</v>
      </c>
      <c r="F32">
        <v>26.5</v>
      </c>
      <c r="G32">
        <v>4.04</v>
      </c>
      <c r="H32">
        <v>27.94</v>
      </c>
      <c r="I32">
        <v>38.049999999999997</v>
      </c>
      <c r="J32">
        <v>11.38</v>
      </c>
      <c r="K32">
        <v>10.050000000000001</v>
      </c>
      <c r="L32">
        <v>4.8600000000000003</v>
      </c>
      <c r="M32">
        <v>2.31</v>
      </c>
      <c r="N32">
        <v>0.76</v>
      </c>
      <c r="O32">
        <v>3.56</v>
      </c>
      <c r="P32">
        <v>1.1499999999999999</v>
      </c>
    </row>
    <row r="33" spans="1:16" x14ac:dyDescent="0.25">
      <c r="A33" t="s">
        <v>30</v>
      </c>
      <c r="B33">
        <v>16</v>
      </c>
      <c r="C33">
        <v>7.1</v>
      </c>
      <c r="D33">
        <v>1.19</v>
      </c>
      <c r="E33">
        <v>28.52</v>
      </c>
      <c r="F33">
        <v>19.5</v>
      </c>
      <c r="G33">
        <v>4.41</v>
      </c>
      <c r="H33">
        <v>27.2</v>
      </c>
      <c r="I33">
        <v>36.049999999999997</v>
      </c>
      <c r="J33">
        <v>12.29</v>
      </c>
      <c r="K33">
        <v>13.26</v>
      </c>
      <c r="L33">
        <v>3.26</v>
      </c>
      <c r="M33">
        <v>2.02</v>
      </c>
      <c r="N33">
        <v>1.04</v>
      </c>
      <c r="O33">
        <v>3.37</v>
      </c>
      <c r="P33">
        <v>0.6</v>
      </c>
    </row>
    <row r="34" spans="1:16" x14ac:dyDescent="0.25">
      <c r="A34" t="s">
        <v>30</v>
      </c>
      <c r="B34">
        <v>17</v>
      </c>
      <c r="C34">
        <v>7.67</v>
      </c>
      <c r="D34">
        <v>1.115</v>
      </c>
      <c r="E34">
        <v>35.405000000000001</v>
      </c>
      <c r="F34">
        <v>13.3</v>
      </c>
      <c r="G34">
        <v>7.3550000000000004</v>
      </c>
      <c r="H34">
        <v>38.965000000000003</v>
      </c>
      <c r="I34">
        <v>34.424999999999997</v>
      </c>
      <c r="J34">
        <v>7.68</v>
      </c>
      <c r="K34">
        <v>5.8599999999999994</v>
      </c>
      <c r="L34">
        <v>2.5</v>
      </c>
      <c r="M34">
        <v>1.605</v>
      </c>
      <c r="N34">
        <v>1.02</v>
      </c>
      <c r="O34">
        <v>4.4000000000000004</v>
      </c>
      <c r="P34">
        <v>24.56</v>
      </c>
    </row>
    <row r="35" spans="1:16" x14ac:dyDescent="0.25">
      <c r="A35" t="s">
        <v>30</v>
      </c>
      <c r="B35">
        <v>19</v>
      </c>
      <c r="C35">
        <v>7.99</v>
      </c>
      <c r="D35">
        <v>1.21</v>
      </c>
      <c r="E35">
        <v>32.409999999999997</v>
      </c>
      <c r="F35">
        <v>14.8</v>
      </c>
      <c r="G35">
        <v>4.34</v>
      </c>
      <c r="H35">
        <v>28.62</v>
      </c>
      <c r="I35">
        <v>40.64</v>
      </c>
      <c r="J35">
        <v>9.73</v>
      </c>
      <c r="K35">
        <v>9.52</v>
      </c>
      <c r="L35">
        <v>3.21</v>
      </c>
      <c r="M35">
        <v>1.94</v>
      </c>
      <c r="N35">
        <v>1.39</v>
      </c>
      <c r="O35">
        <v>5.0199999999999996</v>
      </c>
      <c r="P35">
        <v>23.96</v>
      </c>
    </row>
    <row r="36" spans="1:16" x14ac:dyDescent="0.25">
      <c r="A36" t="s">
        <v>30</v>
      </c>
      <c r="B36">
        <v>23</v>
      </c>
      <c r="C36">
        <v>7.09</v>
      </c>
      <c r="D36">
        <v>1.1299999999999999</v>
      </c>
      <c r="E36">
        <v>34.19</v>
      </c>
      <c r="F36">
        <v>23.1</v>
      </c>
      <c r="G36">
        <v>6.33</v>
      </c>
      <c r="H36">
        <v>36.35</v>
      </c>
      <c r="I36">
        <v>35.4</v>
      </c>
      <c r="J36">
        <v>9.77</v>
      </c>
      <c r="K36">
        <v>6.39</v>
      </c>
      <c r="L36">
        <v>2.69</v>
      </c>
      <c r="M36">
        <v>1.57</v>
      </c>
      <c r="N36">
        <v>0.96</v>
      </c>
      <c r="O36">
        <v>3.43</v>
      </c>
      <c r="P36">
        <v>0.57999999999999996</v>
      </c>
    </row>
    <row r="37" spans="1:16" x14ac:dyDescent="0.25">
      <c r="A37" t="s">
        <v>30</v>
      </c>
      <c r="B37">
        <v>24</v>
      </c>
      <c r="C37">
        <v>6.97</v>
      </c>
      <c r="D37">
        <v>1.0900000000000001</v>
      </c>
      <c r="E37">
        <v>34.380000000000003</v>
      </c>
      <c r="F37">
        <v>29</v>
      </c>
      <c r="G37">
        <v>5.32</v>
      </c>
      <c r="H37">
        <v>27.64</v>
      </c>
      <c r="I37">
        <v>38.159999999999997</v>
      </c>
      <c r="J37">
        <v>11.89</v>
      </c>
      <c r="K37">
        <v>9.16</v>
      </c>
      <c r="L37">
        <v>4.17</v>
      </c>
      <c r="M37">
        <v>2.2200000000000002</v>
      </c>
      <c r="N37">
        <v>0.94</v>
      </c>
      <c r="O37">
        <v>3.98</v>
      </c>
      <c r="P37">
        <v>0.84</v>
      </c>
    </row>
    <row r="38" spans="1:16" x14ac:dyDescent="0.25">
      <c r="A38" t="s">
        <v>30</v>
      </c>
      <c r="B38">
        <v>25</v>
      </c>
      <c r="C38">
        <v>6.7</v>
      </c>
      <c r="D38">
        <v>1.1100000000000001</v>
      </c>
      <c r="E38">
        <v>33.24</v>
      </c>
      <c r="F38">
        <v>24.1</v>
      </c>
      <c r="G38">
        <v>2.8</v>
      </c>
      <c r="H38">
        <v>24</v>
      </c>
      <c r="I38">
        <v>37.96</v>
      </c>
      <c r="J38">
        <v>13.2</v>
      </c>
      <c r="K38">
        <v>10.66</v>
      </c>
      <c r="L38">
        <v>5.81</v>
      </c>
      <c r="M38">
        <v>3.24</v>
      </c>
      <c r="N38">
        <v>1.55</v>
      </c>
      <c r="O38">
        <v>3.48</v>
      </c>
      <c r="P38">
        <v>3.97</v>
      </c>
    </row>
    <row r="39" spans="1:16" x14ac:dyDescent="0.25">
      <c r="A39" t="s">
        <v>30</v>
      </c>
      <c r="B39">
        <v>26</v>
      </c>
      <c r="C39">
        <v>7.5149999999999997</v>
      </c>
      <c r="D39">
        <v>1.1200000000000001</v>
      </c>
      <c r="E39">
        <v>35.215000000000003</v>
      </c>
      <c r="F39">
        <v>27.6</v>
      </c>
      <c r="G39">
        <v>8.06</v>
      </c>
      <c r="H39">
        <v>35.284999999999997</v>
      </c>
      <c r="I39">
        <v>33.015000000000001</v>
      </c>
      <c r="J39">
        <v>9.0650000000000013</v>
      </c>
      <c r="K39">
        <v>6.8650000000000002</v>
      </c>
      <c r="L39">
        <v>3.7149999999999999</v>
      </c>
      <c r="M39">
        <v>2.2200000000000002</v>
      </c>
      <c r="N39">
        <v>0.97</v>
      </c>
      <c r="O39">
        <v>4.4250000000000007</v>
      </c>
      <c r="P39">
        <v>3.27</v>
      </c>
    </row>
    <row r="40" spans="1:16" x14ac:dyDescent="0.25">
      <c r="A40" t="s">
        <v>31</v>
      </c>
      <c r="B40">
        <v>1</v>
      </c>
      <c r="C40">
        <v>7.3</v>
      </c>
      <c r="D40">
        <v>1.1100000000000001</v>
      </c>
      <c r="E40">
        <v>35.979999999999997</v>
      </c>
      <c r="F40">
        <v>37.4</v>
      </c>
      <c r="G40">
        <v>9.1</v>
      </c>
      <c r="H40">
        <v>41.2</v>
      </c>
      <c r="I40">
        <v>30</v>
      </c>
      <c r="J40">
        <v>7.5</v>
      </c>
      <c r="K40">
        <v>5.6</v>
      </c>
      <c r="L40">
        <v>2.9</v>
      </c>
      <c r="M40">
        <v>1.7</v>
      </c>
      <c r="N40">
        <v>0.65</v>
      </c>
      <c r="O40">
        <v>3.85</v>
      </c>
      <c r="P40">
        <v>4.62</v>
      </c>
    </row>
    <row r="41" spans="1:16" x14ac:dyDescent="0.25">
      <c r="A41" t="s">
        <v>31</v>
      </c>
      <c r="B41">
        <v>5</v>
      </c>
      <c r="C41">
        <v>7.24</v>
      </c>
      <c r="D41">
        <v>1.1100000000000001</v>
      </c>
      <c r="E41">
        <v>34.81</v>
      </c>
      <c r="F41">
        <v>29</v>
      </c>
      <c r="G41">
        <v>4.04</v>
      </c>
      <c r="H41">
        <v>25.9</v>
      </c>
      <c r="I41">
        <v>37.42</v>
      </c>
      <c r="J41">
        <v>12.8</v>
      </c>
      <c r="K41">
        <v>9.75</v>
      </c>
      <c r="L41">
        <v>5.08</v>
      </c>
      <c r="M41">
        <v>2.88</v>
      </c>
      <c r="N41">
        <v>1.3</v>
      </c>
      <c r="O41">
        <v>4.0399999999999991</v>
      </c>
      <c r="P41">
        <v>4.32</v>
      </c>
    </row>
    <row r="42" spans="1:16" x14ac:dyDescent="0.25">
      <c r="A42" t="s">
        <v>31</v>
      </c>
      <c r="B42">
        <v>7</v>
      </c>
      <c r="C42">
        <v>7.3</v>
      </c>
      <c r="D42">
        <v>1.21</v>
      </c>
      <c r="E42">
        <v>37.380000000000003</v>
      </c>
      <c r="F42">
        <v>16.2</v>
      </c>
      <c r="G42">
        <v>3.91</v>
      </c>
      <c r="H42">
        <v>27.4</v>
      </c>
      <c r="I42">
        <v>35.5</v>
      </c>
      <c r="J42">
        <v>12.05</v>
      </c>
      <c r="K42">
        <v>10.5</v>
      </c>
      <c r="L42">
        <v>5.6</v>
      </c>
      <c r="M42">
        <v>3.33</v>
      </c>
      <c r="N42">
        <v>1.1499999999999999</v>
      </c>
      <c r="O42">
        <v>3.27</v>
      </c>
      <c r="P42">
        <v>6.29</v>
      </c>
    </row>
    <row r="43" spans="1:16" x14ac:dyDescent="0.25">
      <c r="A43" t="s">
        <v>31</v>
      </c>
      <c r="B43">
        <v>9</v>
      </c>
      <c r="C43">
        <v>7.6</v>
      </c>
      <c r="D43">
        <v>1.19</v>
      </c>
      <c r="E43">
        <v>39.200000000000003</v>
      </c>
      <c r="F43">
        <v>25.6</v>
      </c>
      <c r="G43">
        <v>10.1</v>
      </c>
      <c r="H43">
        <v>30.3</v>
      </c>
      <c r="I43">
        <v>35.799999999999997</v>
      </c>
      <c r="J43">
        <v>10.7</v>
      </c>
      <c r="K43">
        <v>8.8000000000000007</v>
      </c>
      <c r="L43">
        <v>3.5</v>
      </c>
      <c r="M43">
        <v>1.6</v>
      </c>
      <c r="N43">
        <v>0.65</v>
      </c>
      <c r="O43">
        <v>4.2699999999999996</v>
      </c>
      <c r="P43">
        <v>6.18</v>
      </c>
    </row>
    <row r="44" spans="1:16" x14ac:dyDescent="0.25">
      <c r="A44" t="s">
        <v>31</v>
      </c>
      <c r="B44">
        <v>13</v>
      </c>
      <c r="C44">
        <v>7.6</v>
      </c>
      <c r="D44">
        <v>1.1200000000000001</v>
      </c>
      <c r="E44">
        <v>36.85</v>
      </c>
      <c r="F44">
        <v>27.2</v>
      </c>
      <c r="G44">
        <v>10.01</v>
      </c>
      <c r="H44">
        <v>38.32</v>
      </c>
      <c r="I44">
        <v>31.12</v>
      </c>
      <c r="J44">
        <v>9.41</v>
      </c>
      <c r="K44">
        <v>5.94</v>
      </c>
      <c r="L44">
        <v>2.2400000000000002</v>
      </c>
      <c r="M44">
        <v>1.59</v>
      </c>
      <c r="N44">
        <v>1.1200000000000001</v>
      </c>
      <c r="O44">
        <v>2.83</v>
      </c>
      <c r="P44">
        <v>0.57999999999999996</v>
      </c>
    </row>
    <row r="45" spans="1:16" x14ac:dyDescent="0.25">
      <c r="A45" t="s">
        <v>31</v>
      </c>
      <c r="B45">
        <v>16</v>
      </c>
      <c r="C45">
        <v>7.23</v>
      </c>
      <c r="D45">
        <v>1.1299999999999999</v>
      </c>
      <c r="E45">
        <v>39.119999999999997</v>
      </c>
      <c r="F45">
        <v>24.2</v>
      </c>
      <c r="G45">
        <v>12.83</v>
      </c>
      <c r="H45">
        <v>31.9</v>
      </c>
      <c r="I45">
        <v>32.08</v>
      </c>
      <c r="J45">
        <v>9.02</v>
      </c>
      <c r="K45">
        <v>6.57</v>
      </c>
      <c r="L45">
        <v>3.14</v>
      </c>
      <c r="M45">
        <v>1.86</v>
      </c>
      <c r="N45">
        <v>1.03</v>
      </c>
      <c r="O45">
        <v>3.63</v>
      </c>
      <c r="P45">
        <v>5.5500000000000007</v>
      </c>
    </row>
    <row r="46" spans="1:16" x14ac:dyDescent="0.25">
      <c r="A46" t="s">
        <v>32</v>
      </c>
      <c r="B46">
        <v>2</v>
      </c>
      <c r="C46">
        <v>7.81</v>
      </c>
      <c r="D46">
        <v>1.1399999999999999</v>
      </c>
      <c r="E46">
        <v>31.91</v>
      </c>
      <c r="F46">
        <v>34.700000000000003</v>
      </c>
      <c r="G46">
        <v>11.72</v>
      </c>
      <c r="H46">
        <v>35.82</v>
      </c>
      <c r="I46">
        <v>30.77</v>
      </c>
      <c r="J46">
        <v>7.14</v>
      </c>
      <c r="K46">
        <v>5.42</v>
      </c>
      <c r="L46">
        <v>5.74</v>
      </c>
      <c r="M46">
        <v>1.78</v>
      </c>
      <c r="N46">
        <v>0.93</v>
      </c>
      <c r="O46">
        <v>3.73</v>
      </c>
      <c r="P46">
        <v>7.31</v>
      </c>
    </row>
    <row r="47" spans="1:16" x14ac:dyDescent="0.25">
      <c r="A47" t="s">
        <v>32</v>
      </c>
      <c r="B47">
        <v>5</v>
      </c>
      <c r="C47">
        <v>7.33</v>
      </c>
      <c r="D47">
        <v>1.1100000000000001</v>
      </c>
      <c r="E47">
        <v>32.44</v>
      </c>
      <c r="F47">
        <v>21.8</v>
      </c>
      <c r="G47">
        <v>12.39</v>
      </c>
      <c r="H47">
        <v>38.369999999999997</v>
      </c>
      <c r="I47">
        <v>32.299999999999997</v>
      </c>
      <c r="J47">
        <v>5.95</v>
      </c>
      <c r="K47">
        <v>4.2</v>
      </c>
      <c r="L47">
        <v>3.24</v>
      </c>
      <c r="M47">
        <v>1.49</v>
      </c>
      <c r="N47">
        <v>1.62</v>
      </c>
      <c r="O47">
        <v>3.5</v>
      </c>
      <c r="P47">
        <v>6.23</v>
      </c>
    </row>
    <row r="48" spans="1:16" x14ac:dyDescent="0.25">
      <c r="A48" t="s">
        <v>32</v>
      </c>
      <c r="B48">
        <v>11</v>
      </c>
      <c r="C48">
        <v>7.66</v>
      </c>
      <c r="D48">
        <v>1.1599999999999999</v>
      </c>
      <c r="E48">
        <v>33.450000000000003</v>
      </c>
      <c r="F48">
        <v>27.4</v>
      </c>
      <c r="G48">
        <v>10.199999999999999</v>
      </c>
      <c r="H48">
        <v>35.799999999999997</v>
      </c>
      <c r="I48">
        <v>32.4</v>
      </c>
      <c r="J48">
        <v>4.5999999999999996</v>
      </c>
      <c r="K48">
        <v>6.1</v>
      </c>
      <c r="L48">
        <v>4.3</v>
      </c>
      <c r="M48">
        <v>3.2</v>
      </c>
      <c r="N48">
        <v>2.1</v>
      </c>
      <c r="O48">
        <v>3.77</v>
      </c>
      <c r="P48">
        <v>2.44</v>
      </c>
    </row>
    <row r="49" spans="1:16" x14ac:dyDescent="0.25">
      <c r="A49" t="s">
        <v>32</v>
      </c>
      <c r="B49">
        <v>17</v>
      </c>
      <c r="C49">
        <v>7.38</v>
      </c>
      <c r="D49">
        <v>1.1599999999999999</v>
      </c>
      <c r="E49">
        <v>36.32</v>
      </c>
      <c r="F49">
        <v>34.700000000000003</v>
      </c>
      <c r="G49">
        <v>4.0999999999999996</v>
      </c>
      <c r="H49">
        <v>31.2</v>
      </c>
      <c r="I49">
        <v>37.799999999999997</v>
      </c>
      <c r="J49">
        <v>5.4</v>
      </c>
      <c r="K49">
        <v>9.1</v>
      </c>
      <c r="L49">
        <v>5.9</v>
      </c>
      <c r="M49">
        <v>2.7</v>
      </c>
      <c r="N49">
        <v>1.9</v>
      </c>
      <c r="O49">
        <v>3.35</v>
      </c>
      <c r="P49">
        <v>0.81</v>
      </c>
    </row>
    <row r="50" spans="1:16" x14ac:dyDescent="0.25">
      <c r="A50" t="s">
        <v>32</v>
      </c>
      <c r="B50">
        <v>20</v>
      </c>
      <c r="C50">
        <v>7.17</v>
      </c>
      <c r="D50">
        <v>1.1200000000000001</v>
      </c>
      <c r="E50">
        <v>31.96</v>
      </c>
      <c r="F50">
        <v>34.700000000000003</v>
      </c>
      <c r="G50">
        <v>7.1</v>
      </c>
      <c r="H50">
        <v>39.9</v>
      </c>
      <c r="I50">
        <v>29.6</v>
      </c>
      <c r="J50">
        <v>6.7</v>
      </c>
      <c r="K50">
        <v>8.8000000000000007</v>
      </c>
      <c r="L50">
        <v>2.5</v>
      </c>
      <c r="M50">
        <v>4.3</v>
      </c>
      <c r="N50">
        <v>0.3</v>
      </c>
      <c r="O50">
        <v>2.21</v>
      </c>
      <c r="P50">
        <v>1.46</v>
      </c>
    </row>
    <row r="51" spans="1:16" x14ac:dyDescent="0.25">
      <c r="A51" t="s">
        <v>32</v>
      </c>
      <c r="B51">
        <v>24</v>
      </c>
      <c r="C51">
        <v>6.78</v>
      </c>
      <c r="D51">
        <v>1.26</v>
      </c>
      <c r="E51">
        <v>28.99</v>
      </c>
      <c r="F51">
        <v>29</v>
      </c>
      <c r="G51">
        <v>12.53</v>
      </c>
      <c r="H51">
        <v>25.26</v>
      </c>
      <c r="I51">
        <v>37.020000000000003</v>
      </c>
      <c r="J51">
        <v>5.75</v>
      </c>
      <c r="K51">
        <v>5.19</v>
      </c>
      <c r="L51">
        <v>4.54</v>
      </c>
      <c r="M51">
        <v>4.2</v>
      </c>
      <c r="N51">
        <v>3.32</v>
      </c>
      <c r="O51">
        <v>3.49</v>
      </c>
      <c r="P51">
        <v>0.4</v>
      </c>
    </row>
    <row r="52" spans="1:16" x14ac:dyDescent="0.25">
      <c r="A52" t="s">
        <v>32</v>
      </c>
      <c r="B52">
        <v>29</v>
      </c>
      <c r="C52">
        <v>7.68</v>
      </c>
      <c r="D52">
        <v>1.1299999999999999</v>
      </c>
      <c r="E52">
        <v>30.33</v>
      </c>
      <c r="F52">
        <v>34.700000000000003</v>
      </c>
      <c r="G52">
        <v>17.2</v>
      </c>
      <c r="H52">
        <v>31.22</v>
      </c>
      <c r="I52">
        <v>32.229999999999997</v>
      </c>
      <c r="J52">
        <v>5.91</v>
      </c>
      <c r="K52">
        <v>3.71</v>
      </c>
      <c r="L52">
        <v>3.82</v>
      </c>
      <c r="M52">
        <v>3.42</v>
      </c>
      <c r="N52">
        <v>2.34</v>
      </c>
      <c r="O52">
        <v>4.04</v>
      </c>
      <c r="P52">
        <v>6.8</v>
      </c>
    </row>
    <row r="53" spans="1:16" x14ac:dyDescent="0.25">
      <c r="A53" t="s">
        <v>33</v>
      </c>
      <c r="B53">
        <v>4</v>
      </c>
      <c r="C53">
        <v>7.7</v>
      </c>
      <c r="D53">
        <v>1.1299999999999999</v>
      </c>
      <c r="E53">
        <v>34.369999999999997</v>
      </c>
      <c r="F53">
        <v>34.700000000000003</v>
      </c>
      <c r="G53">
        <v>11.35</v>
      </c>
      <c r="H53">
        <v>32.44</v>
      </c>
      <c r="I53">
        <v>36.380000000000003</v>
      </c>
      <c r="J53">
        <v>5.66</v>
      </c>
      <c r="K53">
        <v>5.85</v>
      </c>
      <c r="L53">
        <v>3.13</v>
      </c>
      <c r="M53">
        <v>2.2000000000000002</v>
      </c>
      <c r="N53">
        <v>1.7</v>
      </c>
      <c r="O53">
        <v>3.57</v>
      </c>
      <c r="P53">
        <v>2.56</v>
      </c>
    </row>
    <row r="54" spans="1:16" x14ac:dyDescent="0.25">
      <c r="A54" t="s">
        <v>33</v>
      </c>
      <c r="B54">
        <v>8</v>
      </c>
      <c r="C54">
        <v>7.62</v>
      </c>
      <c r="D54">
        <v>1.19</v>
      </c>
      <c r="E54">
        <v>31.52</v>
      </c>
      <c r="F54">
        <v>29.7</v>
      </c>
      <c r="G54">
        <v>7.6</v>
      </c>
      <c r="H54">
        <v>35.799999999999997</v>
      </c>
      <c r="I54">
        <v>32.700000000000003</v>
      </c>
      <c r="J54">
        <v>7.4</v>
      </c>
      <c r="K54">
        <v>6.4</v>
      </c>
      <c r="L54">
        <v>5.6</v>
      </c>
      <c r="M54">
        <v>2.1</v>
      </c>
      <c r="N54">
        <v>1.4</v>
      </c>
      <c r="O54">
        <v>4.88</v>
      </c>
      <c r="P54">
        <v>12.61</v>
      </c>
    </row>
    <row r="55" spans="1:16" x14ac:dyDescent="0.25">
      <c r="A55" t="s">
        <v>33</v>
      </c>
      <c r="B55">
        <v>15</v>
      </c>
      <c r="C55">
        <v>7.32</v>
      </c>
      <c r="D55">
        <v>1.1599999999999999</v>
      </c>
      <c r="E55">
        <v>32.46</v>
      </c>
      <c r="F55">
        <v>30.2</v>
      </c>
      <c r="G55">
        <v>7.2</v>
      </c>
      <c r="H55">
        <v>32.200000000000003</v>
      </c>
      <c r="I55">
        <v>34.299999999999997</v>
      </c>
      <c r="J55">
        <v>6.4</v>
      </c>
      <c r="K55">
        <v>9.9</v>
      </c>
      <c r="L55">
        <v>5.2</v>
      </c>
      <c r="M55">
        <v>2.2999999999999998</v>
      </c>
      <c r="N55">
        <v>1.4</v>
      </c>
      <c r="O55">
        <v>3.55</v>
      </c>
      <c r="P55">
        <v>0.92999999999999994</v>
      </c>
    </row>
    <row r="56" spans="1:16" x14ac:dyDescent="0.25">
      <c r="A56" t="s">
        <v>33</v>
      </c>
      <c r="B56">
        <v>21</v>
      </c>
      <c r="C56">
        <v>7.2</v>
      </c>
      <c r="D56">
        <v>1.19</v>
      </c>
      <c r="E56">
        <v>29.95</v>
      </c>
      <c r="F56">
        <v>25.5</v>
      </c>
      <c r="G56">
        <v>10.130000000000001</v>
      </c>
      <c r="H56">
        <v>36.14</v>
      </c>
      <c r="I56">
        <v>33.479999999999997</v>
      </c>
      <c r="J56">
        <v>5.9</v>
      </c>
      <c r="K56">
        <v>5.81</v>
      </c>
      <c r="L56">
        <v>4.09</v>
      </c>
      <c r="M56">
        <v>2.06</v>
      </c>
      <c r="N56">
        <v>1.24</v>
      </c>
      <c r="O56">
        <v>3.92</v>
      </c>
      <c r="P56">
        <v>11.34</v>
      </c>
    </row>
    <row r="57" spans="1:16" x14ac:dyDescent="0.25">
      <c r="A57" t="s">
        <v>33</v>
      </c>
      <c r="B57">
        <v>23</v>
      </c>
      <c r="C57">
        <v>8</v>
      </c>
      <c r="D57">
        <v>1.1299999999999999</v>
      </c>
      <c r="E57">
        <v>33.729999999999997</v>
      </c>
      <c r="F57">
        <v>34.700000000000003</v>
      </c>
      <c r="G57">
        <v>8.94</v>
      </c>
      <c r="H57">
        <v>36.700000000000003</v>
      </c>
      <c r="I57">
        <v>32.03</v>
      </c>
      <c r="J57">
        <v>6.84</v>
      </c>
      <c r="K57">
        <v>6.23</v>
      </c>
      <c r="L57">
        <v>4.1900000000000004</v>
      </c>
      <c r="M57">
        <v>2.21</v>
      </c>
      <c r="N57">
        <v>1.82</v>
      </c>
      <c r="O57">
        <v>4.42</v>
      </c>
      <c r="P57">
        <v>3.59</v>
      </c>
    </row>
    <row r="58" spans="1:16" x14ac:dyDescent="0.25">
      <c r="A58" t="s">
        <v>33</v>
      </c>
      <c r="B58">
        <v>29</v>
      </c>
      <c r="C58">
        <v>7.37</v>
      </c>
      <c r="D58">
        <v>1.1299999999999999</v>
      </c>
      <c r="E58">
        <v>32.1</v>
      </c>
      <c r="F58">
        <v>34.700000000000003</v>
      </c>
      <c r="G58">
        <v>7.08</v>
      </c>
      <c r="H58">
        <v>32.42</v>
      </c>
      <c r="I58">
        <v>35.549999999999997</v>
      </c>
      <c r="J58">
        <v>8.4499999999999993</v>
      </c>
      <c r="K58">
        <v>6.56</v>
      </c>
      <c r="L58">
        <v>4.9800000000000004</v>
      </c>
      <c r="M58">
        <v>3.48</v>
      </c>
      <c r="N58">
        <v>1.4</v>
      </c>
      <c r="O58">
        <v>4.17</v>
      </c>
      <c r="P58">
        <v>4.83</v>
      </c>
    </row>
    <row r="59" spans="1:16" x14ac:dyDescent="0.25">
      <c r="A59" t="s">
        <v>34</v>
      </c>
      <c r="B59">
        <v>3</v>
      </c>
      <c r="C59">
        <v>7.08</v>
      </c>
      <c r="D59">
        <v>1.1299999999999999</v>
      </c>
      <c r="E59">
        <v>31.86</v>
      </c>
      <c r="F59">
        <v>21.5</v>
      </c>
      <c r="G59">
        <v>8.61</v>
      </c>
      <c r="H59">
        <v>35.07</v>
      </c>
      <c r="I59">
        <v>35.24</v>
      </c>
      <c r="J59">
        <v>5.74</v>
      </c>
      <c r="K59">
        <v>6.74</v>
      </c>
      <c r="L59">
        <v>4.0999999999999996</v>
      </c>
      <c r="M59">
        <v>2.57</v>
      </c>
      <c r="N59">
        <v>0.98</v>
      </c>
      <c r="O59">
        <v>3.1</v>
      </c>
      <c r="P59">
        <v>9.58</v>
      </c>
    </row>
    <row r="60" spans="1:16" x14ac:dyDescent="0.25">
      <c r="A60" t="s">
        <v>34</v>
      </c>
      <c r="B60">
        <v>8</v>
      </c>
      <c r="C60">
        <v>7.37</v>
      </c>
      <c r="D60">
        <v>1.1299999999999999</v>
      </c>
      <c r="E60">
        <v>34.909999999999997</v>
      </c>
      <c r="F60">
        <v>22.2</v>
      </c>
      <c r="G60">
        <v>8.9499999999999993</v>
      </c>
      <c r="H60">
        <v>30.27</v>
      </c>
      <c r="I60">
        <v>35.6</v>
      </c>
      <c r="J60">
        <v>7.73</v>
      </c>
      <c r="K60">
        <v>7.72</v>
      </c>
      <c r="L60">
        <v>5.41</v>
      </c>
      <c r="M60">
        <v>2.61</v>
      </c>
      <c r="N60">
        <v>1.18</v>
      </c>
      <c r="O60">
        <v>1.7</v>
      </c>
      <c r="P60">
        <v>1.48</v>
      </c>
    </row>
    <row r="61" spans="1:16" x14ac:dyDescent="0.25">
      <c r="A61" t="s">
        <v>34</v>
      </c>
      <c r="B61">
        <v>16</v>
      </c>
      <c r="C61">
        <v>7.49</v>
      </c>
      <c r="D61">
        <v>1.08</v>
      </c>
      <c r="E61">
        <v>39.65</v>
      </c>
      <c r="F61">
        <v>22.5</v>
      </c>
      <c r="G61">
        <v>9.1999999999999993</v>
      </c>
      <c r="H61">
        <v>38</v>
      </c>
      <c r="I61">
        <v>35.4</v>
      </c>
      <c r="J61">
        <v>5.6</v>
      </c>
      <c r="K61">
        <v>4.7</v>
      </c>
      <c r="L61">
        <v>2.4</v>
      </c>
      <c r="M61">
        <v>2.2000000000000002</v>
      </c>
      <c r="N61">
        <v>1.7</v>
      </c>
      <c r="O61">
        <v>2.91</v>
      </c>
      <c r="P61">
        <v>5.14</v>
      </c>
    </row>
    <row r="62" spans="1:16" x14ac:dyDescent="0.25">
      <c r="A62" t="s">
        <v>34</v>
      </c>
      <c r="B62">
        <v>18</v>
      </c>
      <c r="C62">
        <v>7.45</v>
      </c>
      <c r="D62">
        <v>1.21</v>
      </c>
      <c r="E62">
        <v>27.54</v>
      </c>
      <c r="F62">
        <v>25.2</v>
      </c>
      <c r="G62">
        <v>9.4</v>
      </c>
      <c r="H62">
        <v>33.75</v>
      </c>
      <c r="I62">
        <v>35.43</v>
      </c>
      <c r="J62">
        <v>6.49</v>
      </c>
      <c r="K62">
        <v>6.07</v>
      </c>
      <c r="L62">
        <v>3.69</v>
      </c>
      <c r="M62">
        <v>2.48</v>
      </c>
      <c r="N62">
        <v>1.6</v>
      </c>
      <c r="O62">
        <v>3.18</v>
      </c>
      <c r="P62">
        <v>2.08</v>
      </c>
    </row>
    <row r="63" spans="1:16" x14ac:dyDescent="0.25">
      <c r="A63" t="s">
        <v>34</v>
      </c>
      <c r="B63">
        <v>20</v>
      </c>
      <c r="C63">
        <v>7.14</v>
      </c>
      <c r="D63">
        <v>1.1299999999999999</v>
      </c>
      <c r="E63">
        <v>34.81</v>
      </c>
      <c r="F63">
        <v>22.2</v>
      </c>
      <c r="G63">
        <v>5.7</v>
      </c>
      <c r="H63">
        <v>31.4</v>
      </c>
      <c r="I63">
        <v>38.9</v>
      </c>
      <c r="J63">
        <v>7.8</v>
      </c>
      <c r="K63">
        <v>8.4</v>
      </c>
      <c r="L63">
        <v>4.2</v>
      </c>
      <c r="M63">
        <v>2.2999999999999998</v>
      </c>
      <c r="N63">
        <v>0.66</v>
      </c>
      <c r="O63">
        <v>4.29</v>
      </c>
      <c r="P63">
        <v>4.95</v>
      </c>
    </row>
    <row r="64" spans="1:16" x14ac:dyDescent="0.25">
      <c r="A64" t="s">
        <v>34</v>
      </c>
      <c r="B64">
        <v>22</v>
      </c>
      <c r="C64">
        <v>7.26</v>
      </c>
      <c r="D64">
        <v>1.1200000000000001</v>
      </c>
      <c r="E64">
        <v>38.42</v>
      </c>
      <c r="F64">
        <v>21.7</v>
      </c>
      <c r="G64">
        <v>6.6</v>
      </c>
      <c r="H64">
        <v>34.6</v>
      </c>
      <c r="I64">
        <v>36</v>
      </c>
      <c r="J64">
        <v>7.1</v>
      </c>
      <c r="K64">
        <v>7.1</v>
      </c>
      <c r="L64">
        <v>4.4000000000000004</v>
      </c>
      <c r="M64">
        <v>2.4</v>
      </c>
      <c r="N64">
        <v>0.88</v>
      </c>
      <c r="O64">
        <v>4.6500000000000004</v>
      </c>
      <c r="P64">
        <v>10.7</v>
      </c>
    </row>
    <row r="65" spans="1:16" x14ac:dyDescent="0.25">
      <c r="A65" t="s">
        <v>34</v>
      </c>
      <c r="B65">
        <v>23</v>
      </c>
      <c r="C65">
        <v>7.37</v>
      </c>
      <c r="D65">
        <v>1.1599999999999999</v>
      </c>
      <c r="E65">
        <v>33.619999999999997</v>
      </c>
      <c r="F65">
        <v>26.1</v>
      </c>
      <c r="G65">
        <v>5.83</v>
      </c>
      <c r="H65">
        <v>30.46</v>
      </c>
      <c r="I65">
        <v>37.299999999999997</v>
      </c>
      <c r="J65">
        <v>8.09</v>
      </c>
      <c r="K65">
        <v>8.1300000000000008</v>
      </c>
      <c r="L65">
        <v>4.6500000000000004</v>
      </c>
      <c r="M65">
        <v>2.96</v>
      </c>
      <c r="N65">
        <v>1.34</v>
      </c>
      <c r="O65">
        <v>3.22</v>
      </c>
      <c r="P65">
        <v>2.13</v>
      </c>
    </row>
    <row r="66" spans="1:16" x14ac:dyDescent="0.25">
      <c r="A66" t="s">
        <v>34</v>
      </c>
      <c r="B66">
        <v>24</v>
      </c>
      <c r="C66">
        <v>7.62</v>
      </c>
      <c r="D66">
        <v>1.1399999999999999</v>
      </c>
      <c r="E66">
        <v>32.22</v>
      </c>
      <c r="F66">
        <v>34.700000000000003</v>
      </c>
      <c r="G66">
        <v>10.17</v>
      </c>
      <c r="H66">
        <v>32.96</v>
      </c>
      <c r="I66">
        <v>36.92</v>
      </c>
      <c r="J66">
        <v>5.98</v>
      </c>
      <c r="K66">
        <v>5.07</v>
      </c>
      <c r="L66">
        <v>2.9</v>
      </c>
      <c r="M66">
        <v>2.4900000000000002</v>
      </c>
      <c r="N66">
        <v>2.23</v>
      </c>
      <c r="O66">
        <v>4.25</v>
      </c>
      <c r="P66">
        <v>4.1000000000000014</v>
      </c>
    </row>
    <row r="67" spans="1:16" x14ac:dyDescent="0.25">
      <c r="A67" t="s">
        <v>34</v>
      </c>
      <c r="B67">
        <v>29</v>
      </c>
      <c r="C67">
        <v>7.34</v>
      </c>
      <c r="D67">
        <v>1.19</v>
      </c>
      <c r="E67">
        <v>34.51</v>
      </c>
      <c r="F67">
        <v>12.02</v>
      </c>
      <c r="G67">
        <v>6.27</v>
      </c>
      <c r="H67">
        <v>32.340000000000003</v>
      </c>
      <c r="I67">
        <v>37.74</v>
      </c>
      <c r="J67">
        <v>5.91</v>
      </c>
      <c r="K67">
        <v>8.4700000000000006</v>
      </c>
      <c r="L67">
        <v>4.3499999999999996</v>
      </c>
      <c r="M67">
        <v>2.63</v>
      </c>
      <c r="N67">
        <v>1.23</v>
      </c>
      <c r="O67">
        <v>3.47</v>
      </c>
      <c r="P67">
        <v>8.39</v>
      </c>
    </row>
  </sheetData>
  <mergeCells count="1">
    <mergeCell ref="A1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8"/>
  <sheetViews>
    <sheetView workbookViewId="0">
      <selection activeCell="D6" sqref="D6"/>
    </sheetView>
  </sheetViews>
  <sheetFormatPr baseColWidth="10" defaultColWidth="9.140625" defaultRowHeight="15" x14ac:dyDescent="0.25"/>
  <cols>
    <col min="1" max="1" width="5.7109375" customWidth="1"/>
    <col min="2" max="2" width="30.7109375" customWidth="1"/>
    <col min="3" max="3" width="20.7109375" customWidth="1"/>
    <col min="4" max="5" width="25.7109375" customWidth="1"/>
  </cols>
  <sheetData>
    <row r="2" spans="2:5" x14ac:dyDescent="0.25">
      <c r="B2" s="8" t="s">
        <v>36</v>
      </c>
      <c r="C2" s="8"/>
      <c r="D2" s="8"/>
      <c r="E2" s="8"/>
    </row>
    <row r="3" spans="2:5" x14ac:dyDescent="0.25">
      <c r="B3" s="8"/>
      <c r="C3" s="8"/>
      <c r="D3" s="8"/>
      <c r="E3" s="8"/>
    </row>
    <row r="5" spans="2:5" x14ac:dyDescent="0.25">
      <c r="B5" s="1" t="s">
        <v>37</v>
      </c>
      <c r="C5" s="1" t="s">
        <v>38</v>
      </c>
      <c r="D5" s="1" t="s">
        <v>39</v>
      </c>
    </row>
    <row r="6" spans="2:5" ht="30" customHeight="1" x14ac:dyDescent="0.25">
      <c r="B6" s="2" t="s">
        <v>26</v>
      </c>
      <c r="C6" s="3">
        <v>0.51078698097606123</v>
      </c>
      <c r="D6" s="3" t="s">
        <v>40</v>
      </c>
    </row>
    <row r="7" spans="2:5" ht="30" customHeight="1" x14ac:dyDescent="0.25">
      <c r="B7" s="2" t="s">
        <v>20</v>
      </c>
      <c r="C7" s="3">
        <v>0.41730069508200862</v>
      </c>
      <c r="D7" s="3" t="s">
        <v>40</v>
      </c>
    </row>
    <row r="8" spans="2:5" ht="30" customHeight="1" x14ac:dyDescent="0.25">
      <c r="B8" s="2" t="s">
        <v>19</v>
      </c>
      <c r="C8" s="2">
        <v>0.20595738950032491</v>
      </c>
      <c r="D8" s="2" t="s">
        <v>41</v>
      </c>
    </row>
    <row r="9" spans="2:5" ht="30" customHeight="1" x14ac:dyDescent="0.25">
      <c r="B9" s="2" t="s">
        <v>14</v>
      </c>
      <c r="C9" s="2">
        <v>0.1951796770284539</v>
      </c>
      <c r="D9" s="2" t="s">
        <v>41</v>
      </c>
    </row>
    <row r="10" spans="2:5" ht="30" customHeight="1" x14ac:dyDescent="0.25">
      <c r="B10" s="2" t="s">
        <v>25</v>
      </c>
      <c r="C10" s="2">
        <v>9.6880961988662275E-3</v>
      </c>
      <c r="D10" s="2" t="s">
        <v>42</v>
      </c>
    </row>
    <row r="11" spans="2:5" ht="30" customHeight="1" x14ac:dyDescent="0.25">
      <c r="B11" s="2" t="s">
        <v>16</v>
      </c>
      <c r="C11" s="2">
        <v>-7.0349018262604876E-3</v>
      </c>
      <c r="D11" s="2" t="s">
        <v>42</v>
      </c>
    </row>
    <row r="12" spans="2:5" ht="30" customHeight="1" x14ac:dyDescent="0.25">
      <c r="B12" s="2" t="s">
        <v>15</v>
      </c>
      <c r="C12" s="2">
        <v>-1.0511907777319449E-2</v>
      </c>
      <c r="D12" s="2" t="s">
        <v>42</v>
      </c>
    </row>
    <row r="13" spans="2:5" ht="30" customHeight="1" x14ac:dyDescent="0.25">
      <c r="B13" s="2" t="s">
        <v>23</v>
      </c>
      <c r="C13" s="2">
        <v>-4.737979091115932E-2</v>
      </c>
      <c r="D13" s="2" t="s">
        <v>42</v>
      </c>
    </row>
    <row r="14" spans="2:5" ht="30" customHeight="1" x14ac:dyDescent="0.25">
      <c r="B14" s="2" t="s">
        <v>18</v>
      </c>
      <c r="C14" s="2">
        <v>-6.397403215941555E-2</v>
      </c>
      <c r="D14" s="2" t="s">
        <v>42</v>
      </c>
    </row>
    <row r="15" spans="2:5" ht="30" customHeight="1" x14ac:dyDescent="0.25">
      <c r="B15" s="2" t="s">
        <v>21</v>
      </c>
      <c r="C15" s="2">
        <v>-7.3240319112483201E-2</v>
      </c>
      <c r="D15" s="2" t="s">
        <v>42</v>
      </c>
    </row>
    <row r="16" spans="2:5" ht="30" customHeight="1" x14ac:dyDescent="0.25">
      <c r="B16" s="2" t="s">
        <v>22</v>
      </c>
      <c r="C16" s="2">
        <v>-0.102211707715251</v>
      </c>
      <c r="D16" s="2" t="s">
        <v>43</v>
      </c>
    </row>
    <row r="17" spans="2:4" ht="30" customHeight="1" x14ac:dyDescent="0.25">
      <c r="B17" s="2" t="s">
        <v>24</v>
      </c>
      <c r="C17" s="4">
        <v>-0.24256461886982369</v>
      </c>
      <c r="D17" s="4" t="s">
        <v>44</v>
      </c>
    </row>
    <row r="18" spans="2:4" ht="30" customHeight="1" x14ac:dyDescent="0.25">
      <c r="B18" s="2" t="s">
        <v>17</v>
      </c>
      <c r="C18" s="4">
        <v>-0.29775892988858282</v>
      </c>
      <c r="D18" s="4" t="s">
        <v>44</v>
      </c>
    </row>
  </sheetData>
  <mergeCells count="1">
    <mergeCell ref="B2:E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22"/>
  <sheetViews>
    <sheetView tabSelected="1" topLeftCell="A9" workbookViewId="0">
      <selection activeCell="A10" sqref="A10:XFD10"/>
    </sheetView>
  </sheetViews>
  <sheetFormatPr baseColWidth="10" defaultColWidth="9.140625" defaultRowHeight="15" x14ac:dyDescent="0.25"/>
  <cols>
    <col min="1" max="1" width="5.7109375" customWidth="1"/>
    <col min="2" max="2" width="30.7109375" customWidth="1"/>
    <col min="3" max="5" width="18.7109375" customWidth="1"/>
    <col min="7" max="10" width="25.7109375" customWidth="1"/>
    <col min="12" max="12" width="0" hidden="1" customWidth="1"/>
  </cols>
  <sheetData>
    <row r="2" spans="2:12" ht="18.75" x14ac:dyDescent="0.25">
      <c r="B2" s="8" t="s">
        <v>45</v>
      </c>
      <c r="C2" s="8"/>
      <c r="D2" s="8"/>
      <c r="E2" s="8"/>
      <c r="G2" s="10" t="s">
        <v>46</v>
      </c>
      <c r="H2" s="10"/>
      <c r="I2" s="10"/>
    </row>
    <row r="3" spans="2:12" x14ac:dyDescent="0.25">
      <c r="B3" s="8"/>
      <c r="C3" s="8"/>
      <c r="D3" s="8"/>
      <c r="E3" s="8"/>
    </row>
    <row r="4" spans="2:12" ht="45" x14ac:dyDescent="0.25">
      <c r="G4" s="5" t="s">
        <v>47</v>
      </c>
    </row>
    <row r="5" spans="2:12" ht="38.25" customHeight="1" x14ac:dyDescent="0.25">
      <c r="B5" s="1" t="s">
        <v>54</v>
      </c>
      <c r="C5" s="6" t="s">
        <v>55</v>
      </c>
      <c r="D5" s="1" t="s">
        <v>56</v>
      </c>
      <c r="E5" s="1" t="s">
        <v>57</v>
      </c>
      <c r="L5" s="1" t="s">
        <v>58</v>
      </c>
    </row>
    <row r="6" spans="2:12" ht="60" customHeight="1" x14ac:dyDescent="0.25">
      <c r="B6" s="1" t="s">
        <v>14</v>
      </c>
      <c r="C6" s="2">
        <v>7.4017968749999996</v>
      </c>
      <c r="D6" s="2">
        <v>6.7</v>
      </c>
      <c r="E6" s="2">
        <v>8.14</v>
      </c>
      <c r="G6" s="5" t="s">
        <v>48</v>
      </c>
      <c r="L6">
        <v>1.8570100029184651</v>
      </c>
    </row>
    <row r="7" spans="2:12" ht="58.5" customHeight="1" x14ac:dyDescent="0.25">
      <c r="B7" s="1" t="s">
        <v>15</v>
      </c>
      <c r="C7" s="2">
        <v>1.14921875</v>
      </c>
      <c r="D7" s="2">
        <v>1.08</v>
      </c>
      <c r="E7" s="2">
        <v>1.26</v>
      </c>
      <c r="G7" s="5" t="s">
        <v>49</v>
      </c>
      <c r="L7">
        <v>13.003211092836811</v>
      </c>
    </row>
    <row r="8" spans="2:12" ht="49.5" customHeight="1" x14ac:dyDescent="0.25">
      <c r="B8" s="1" t="s">
        <v>16</v>
      </c>
      <c r="C8" s="2">
        <v>34.1721875</v>
      </c>
      <c r="D8" s="2">
        <v>27.54</v>
      </c>
      <c r="E8" s="2">
        <v>39.65</v>
      </c>
      <c r="G8" s="5" t="s">
        <v>50</v>
      </c>
      <c r="L8">
        <v>-0.13814329485173871</v>
      </c>
    </row>
    <row r="9" spans="2:12" ht="49.5" customHeight="1" x14ac:dyDescent="0.25">
      <c r="B9" s="1" t="s">
        <v>17</v>
      </c>
      <c r="C9" s="2">
        <v>24.33</v>
      </c>
      <c r="D9" s="2">
        <v>10.3</v>
      </c>
      <c r="E9" s="2">
        <v>37.4</v>
      </c>
      <c r="G9" s="5" t="s">
        <v>51</v>
      </c>
      <c r="L9">
        <v>-0.15631467636502339</v>
      </c>
    </row>
    <row r="10" spans="2:12" ht="45.75" customHeight="1" x14ac:dyDescent="0.25">
      <c r="B10" s="1" t="s">
        <v>18</v>
      </c>
      <c r="C10" s="2">
        <v>7.9378125000000006</v>
      </c>
      <c r="D10" s="2">
        <v>2.1</v>
      </c>
      <c r="E10" s="2">
        <v>17.2</v>
      </c>
      <c r="G10" s="5" t="s">
        <v>52</v>
      </c>
      <c r="L10">
        <v>-0.65805663002685932</v>
      </c>
    </row>
    <row r="11" spans="2:12" ht="20.100000000000001" customHeight="1" x14ac:dyDescent="0.25">
      <c r="B11" s="1" t="s">
        <v>19</v>
      </c>
      <c r="C11" s="2">
        <v>32.79081632653061</v>
      </c>
      <c r="D11" s="2">
        <v>24</v>
      </c>
      <c r="E11" s="2">
        <v>41.2</v>
      </c>
      <c r="G11" s="5" t="s">
        <v>53</v>
      </c>
      <c r="L11">
        <v>0.47543966935221388</v>
      </c>
    </row>
    <row r="12" spans="2:12" ht="20.100000000000001" customHeight="1" x14ac:dyDescent="0.25">
      <c r="B12" s="1" t="s">
        <v>20</v>
      </c>
      <c r="C12" s="2">
        <v>43.221093750000001</v>
      </c>
      <c r="D12" s="2">
        <v>27.91</v>
      </c>
      <c r="E12" s="2">
        <v>73.900000000000006</v>
      </c>
      <c r="L12">
        <v>0.17613719554522619</v>
      </c>
    </row>
    <row r="13" spans="2:12" ht="20.100000000000001" customHeight="1" x14ac:dyDescent="0.25">
      <c r="B13" s="1" t="s">
        <v>21</v>
      </c>
      <c r="C13" s="2">
        <v>7.581015625</v>
      </c>
      <c r="D13" s="2">
        <v>2.57</v>
      </c>
      <c r="E13" s="2">
        <v>13.2</v>
      </c>
      <c r="L13">
        <v>-0.18582840375170931</v>
      </c>
    </row>
    <row r="14" spans="2:12" ht="20.100000000000001" customHeight="1" x14ac:dyDescent="0.25">
      <c r="B14" s="1" t="s">
        <v>22</v>
      </c>
      <c r="C14" s="2">
        <v>6.9890625000000011</v>
      </c>
      <c r="D14" s="2">
        <v>2.5</v>
      </c>
      <c r="E14" s="2">
        <v>13.26</v>
      </c>
      <c r="L14">
        <v>-0.22578224630216631</v>
      </c>
    </row>
    <row r="15" spans="2:12" ht="20.100000000000001" customHeight="1" x14ac:dyDescent="0.25">
      <c r="B15" s="1" t="s">
        <v>23</v>
      </c>
      <c r="C15" s="2">
        <v>4.6717187500000001</v>
      </c>
      <c r="D15" s="2">
        <v>2.2400000000000002</v>
      </c>
      <c r="E15" s="2">
        <v>10.55</v>
      </c>
      <c r="L15">
        <v>-0.49880985414187118</v>
      </c>
    </row>
    <row r="16" spans="2:12" ht="20.100000000000001" customHeight="1" x14ac:dyDescent="0.25">
      <c r="B16" s="1" t="s">
        <v>24</v>
      </c>
      <c r="C16" s="2">
        <v>2.3618749999999999</v>
      </c>
      <c r="D16" s="2">
        <v>1.46</v>
      </c>
      <c r="E16" s="2">
        <v>4.3</v>
      </c>
      <c r="L16">
        <v>-0.27422598816590699</v>
      </c>
    </row>
    <row r="17" spans="2:12" ht="20.100000000000001" customHeight="1" x14ac:dyDescent="0.25">
      <c r="B17" s="1" t="s">
        <v>25</v>
      </c>
      <c r="C17" s="2">
        <v>1.34546875</v>
      </c>
      <c r="D17" s="2">
        <v>0.2</v>
      </c>
      <c r="E17" s="2">
        <v>3.32</v>
      </c>
      <c r="L17">
        <v>1.512462815740665</v>
      </c>
    </row>
    <row r="18" spans="2:12" ht="20.100000000000001" customHeight="1" x14ac:dyDescent="0.25">
      <c r="B18" s="1" t="s">
        <v>26</v>
      </c>
      <c r="C18" s="2">
        <v>3.6577000000000002</v>
      </c>
      <c r="D18" s="2">
        <v>1.36</v>
      </c>
      <c r="E18" s="2">
        <v>5.0199999999999996</v>
      </c>
      <c r="L18">
        <v>3.3952521705857861</v>
      </c>
    </row>
    <row r="20" spans="2:12" x14ac:dyDescent="0.25">
      <c r="B20" s="2" t="s">
        <v>59</v>
      </c>
      <c r="L20">
        <v>-39.788810106283627</v>
      </c>
    </row>
    <row r="22" spans="2:12" ht="35.1" customHeight="1" x14ac:dyDescent="0.25">
      <c r="B22" s="1" t="s">
        <v>60</v>
      </c>
      <c r="C22" s="7">
        <f>MAX(0, SUMPRODUCT(C6:C18, L6:L18) + L20)</f>
        <v>6.8445312500000099</v>
      </c>
    </row>
  </sheetData>
  <mergeCells count="2">
    <mergeCell ref="B2:E3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0. INTRODUCCIÓN</vt:lpstr>
      <vt:lpstr>1. DATOS_CONSOLIDADOS</vt:lpstr>
      <vt:lpstr>2. CORRELACIONES</vt:lpstr>
      <vt:lpstr>3. OPTIMIZACION_SOLVER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Julián Ramírez</cp:lastModifiedBy>
  <dcterms:created xsi:type="dcterms:W3CDTF">2026-03-17T15:19:42Z</dcterms:created>
  <dcterms:modified xsi:type="dcterms:W3CDTF">2026-03-17T15:25:56Z</dcterms:modified>
</cp:coreProperties>
</file>